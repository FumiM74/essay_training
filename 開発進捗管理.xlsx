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004239c84c447aa" /></Relationships>
</file>

<file path=xl/workbook.xml><?xml version="1.0" encoding="utf-8"?>
<x:workbook xmlns:x="http://schemas.openxmlformats.org/spreadsheetml/2006/main">
  <x:sheets>
    <x:sheet xmlns:r="http://schemas.openxmlformats.org/officeDocument/2006/relationships" name="進捗サマリー" sheetId="1" r:id="R8c2b181042484d8f"/>
    <x:sheet xmlns:r="http://schemas.openxmlformats.org/officeDocument/2006/relationships" name="実装タスク" sheetId="2" r:id="R7fb24257b8134f82"/>
    <x:sheet xmlns:r="http://schemas.openxmlformats.org/officeDocument/2006/relationships" name="更新履歴" sheetId="5" r:id="R288bb67059c445b8"/>
  </x:sheets>
</x:workbook>
</file>

<file path=xl/sharedStrings.xml><?xml version="1.0" encoding="utf-8"?>
<x:sst xmlns:x="http://schemas.openxmlformats.org/spreadsheetml/2006/main"/>
</file>

<file path=xl/styles.xml><?xml version="1.0" encoding="utf-8"?>
<x:styleSheet xmlns:x="http://schemas.openxmlformats.org/spreadsheetml/2006/main">
  <x:numFmts count="9">
    <x:numFmt numFmtId="200" formatCode="0%"/>
    <x:numFmt numFmtId="201" formatCode="yyyy-mm-dd"/>
    <x:numFmt numFmtId="202" formatCode="yyyy/m/d"/>
    <x:numFmt numFmtId="203" formatCode="0"/>
    <x:numFmt numFmtId="204" formatCode="0 &quot;日&quot;"/>
    <x:numFmt numFmtId="205" formatCode="0 &quot;件&quot;"/>
    <x:numFmt numFmtId="206" formatCode="0.0 &quot;時間&quot;"/>
    <x:numFmt numFmtId="207" formatCode="m/d"/>
    <x:numFmt numFmtId="208" formatCode="#,##0"/>
  </x:numFmts>
  <x:fonts count="32">
    <x:font>
      <x:sz val="11"/>
      <x:name val="Carlito"/>
    </x:font>
    <x:font>
      <x:b/>
      <x:sz val="20"/>
      <x:color rgb="FFFFFFFF"/>
      <x:name val="Carlito"/>
    </x:font>
    <x:font>
      <x:sz val="11"/>
      <x:color rgb="FF23313D"/>
      <x:name val="Carlito"/>
    </x:font>
    <x:font>
      <x:b/>
      <x:sz val="11"/>
      <x:color rgb="FFFFFFFF"/>
      <x:name val="Carlito"/>
    </x:font>
    <x:font>
      <x:b/>
      <x:sz val="16"/>
      <x:color rgb="FF17324D"/>
      <x:name val="Carlito"/>
    </x:font>
    <x:font>
      <x:b/>
      <x:sz val="11"/>
      <x:color rgb="FF17324D"/>
      <x:name val="Carlito"/>
    </x:font>
    <x:font>
      <x:b/>
      <x:sz val="11"/>
      <x:color rgb="FF6B4D00"/>
      <x:name val="Carlito"/>
    </x:font>
    <x:font>
      <x:i/>
      <x:sz val="11"/>
      <x:color rgb="FF5D6B76"/>
      <x:name val="Carlito"/>
    </x:font>
    <x:font>
      <x:b/>
      <x:sz val="18"/>
      <x:color rgb="FFFFFFFF"/>
      <x:name val="Carlito"/>
    </x:font>
    <x:font>
      <x:sz val="11"/>
      <x:color rgb="FF6B4D00"/>
      <x:name val="Carlito"/>
    </x:font>
    <x:font>
      <x:sz val="14"/>
      <x:color rgb="FF1F6F78"/>
      <x:name val="Carlito"/>
    </x:font>
    <x:font>
      <x:b/>
      <x:sz val="11"/>
      <x:color rgb="FF065F46"/>
      <x:name val="Carlito"/>
    </x:font>
    <x:font>
      <x:sz val="10"/>
      <x:color rgb="FF334155"/>
      <x:name val="Carlito"/>
    </x:font>
    <x:font>
      <x:b/>
      <x:sz val="16"/>
      <x:color rgb="FF92400E"/>
      <x:name val="Carlito"/>
    </x:font>
    <x:font>
      <x:b/>
      <x:sz val="14"/>
      <x:color rgb="FF115E59"/>
      <x:name val="Carlito"/>
    </x:font>
    <x:font>
      <x:b/>
      <x:sz val="9"/>
      <x:color rgb="FF475569"/>
      <x:name val="Carlito"/>
    </x:font>
    <x:font>
      <x:sz val="9"/>
      <x:color rgb="FF475569"/>
      <x:name val="Carlito"/>
    </x:font>
    <x:font>
      <x:sz val="6"/>
      <x:color rgb="FFEBEDF0"/>
      <x:name val="Carlito"/>
    </x:font>
    <x:font>
      <x:sz val="6"/>
      <x:color rgb="FF9BE9A8"/>
      <x:name val="Carlito"/>
    </x:font>
    <x:font>
      <x:sz val="6"/>
      <x:color rgb="FF40C463"/>
      <x:name val="Carlito"/>
    </x:font>
    <x:font>
      <x:sz val="6"/>
      <x:color rgb="FF30A14E"/>
      <x:name val="Carlito"/>
    </x:font>
    <x:font>
      <x:sz val="6"/>
      <x:color rgb="FF216E39"/>
      <x:name val="Carlito"/>
    </x:font>
    <x:font>
      <x:sz val="9"/>
      <x:color rgb="FF64748B"/>
      <x:name val="Carlito"/>
    </x:font>
    <x:font>
      <x:b/>
      <x:sz val="9"/>
      <x:color rgb="FF64748B"/>
      <x:name val="Carlito"/>
    </x:font>
    <x:font>
      <x:sz val="7"/>
      <x:color rgb="FF94A3B8"/>
      <x:name val="Carlito"/>
    </x:font>
    <x:font>
      <x:sz val="10"/>
      <x:color rgb="FF35505B"/>
      <x:name val="Carlito"/>
    </x:font>
    <x:font>
      <x:b/>
      <x:sz val="12"/>
      <x:color rgb="FFFFFFFF"/>
      <x:name val="Carlito"/>
    </x:font>
    <x:font>
      <x:b/>
      <x:sz val="16"/>
      <x:color rgb="FF173B5B"/>
      <x:name val="Carlito"/>
    </x:font>
    <x:font>
      <x:b/>
      <x:sz val="10"/>
      <x:color rgb="FF805C12"/>
      <x:name val="Carlito"/>
    </x:font>
    <x:font>
      <x:b/>
      <x:sz val="10"/>
      <x:color rgb="FF16715F"/>
      <x:name val="Carlito"/>
    </x:font>
    <x:font>
      <x:i/>
      <x:sz val="10"/>
      <x:color rgb="FF6C7A80"/>
      <x:name val="Carlito"/>
    </x:font>
    <x:font>
      <x:b/>
      <x:sz val="10"/>
      <x:color rgb="FFFFFFFF"/>
      <x:name val="Carlito"/>
    </x:font>
  </x:fonts>
  <x:fills count="34">
    <x:fill>
      <x:patternFill patternType="none"/>
    </x:fill>
    <x:fill>
      <x:patternFill patternType="gray125"/>
    </x:fill>
    <x:fill>
      <x:patternFill patternType="solid">
        <x:fgColor rgb="FF17324D"/>
      </x:patternFill>
    </x:fill>
    <x:fill>
      <x:patternFill patternType="solid">
        <x:fgColor rgb="FFE8F1F5"/>
      </x:patternFill>
    </x:fill>
    <x:fill>
      <x:patternFill patternType="solid">
        <x:fgColor rgb="FF1F6F78"/>
      </x:patternFill>
    </x:fill>
    <x:fill>
      <x:patternFill patternType="solid">
        <x:fgColor rgb="FFF8FBFC"/>
      </x:patternFill>
    </x:fill>
    <x:fill>
      <x:patternFill patternType="solid">
        <x:fgColor rgb="FFF4F6F8"/>
      </x:patternFill>
    </x:fill>
    <x:fill>
      <x:patternFill patternType="solid">
        <x:fgColor rgb="FFFFF4D6"/>
      </x:patternFill>
    </x:fill>
    <x:fill>
      <x:patternFill patternType="solid">
        <x:fgColor rgb="FFFFFDF2"/>
      </x:patternFill>
    </x:fill>
    <x:fill>
      <x:patternFill patternType="solid">
        <x:fgColor rgb="FF0F766E"/>
      </x:patternFill>
    </x:fill>
    <x:fill>
      <x:patternFill patternType="solid">
        <x:fgColor rgb="FFFFF7CC"/>
      </x:patternFill>
    </x:fill>
    <x:fill>
      <x:patternFill patternType="solid">
        <x:fgColor rgb="FFECFDF5"/>
      </x:patternFill>
    </x:fill>
    <x:fill>
      <x:patternFill patternType="solid">
        <x:fgColor rgb="FF0B1F3A"/>
      </x:patternFill>
    </x:fill>
    <x:fill>
      <x:patternFill patternType="solid">
        <x:fgColor rgb="FFE8F1F8"/>
      </x:patternFill>
    </x:fill>
    <x:fill>
      <x:patternFill patternType="solid">
        <x:fgColor rgb="FFF0FDFA"/>
      </x:patternFill>
    </x:fill>
    <x:fill>
      <x:patternFill patternType="solid">
        <x:fgColor rgb="FFEBEDF0"/>
      </x:patternFill>
    </x:fill>
    <x:fill>
      <x:patternFill patternType="solid">
        <x:fgColor rgb="FF9BE9A8"/>
      </x:patternFill>
    </x:fill>
    <x:fill>
      <x:patternFill patternType="solid">
        <x:fgColor rgb="FF40C463"/>
      </x:patternFill>
    </x:fill>
    <x:fill>
      <x:patternFill patternType="solid">
        <x:fgColor rgb="FF30A14E"/>
      </x:patternFill>
    </x:fill>
    <x:fill>
      <x:patternFill patternType="solid">
        <x:fgColor rgb="FF216E39"/>
      </x:patternFill>
    </x:fill>
    <x:fill>
      <x:patternFill patternType="solid">
        <x:fgColor rgb="FFF1F5F9"/>
      </x:patternFill>
    </x:fill>
    <x:fill>
      <x:patternFill patternType="solid">
        <x:fgColor rgb="FFF8FAFC"/>
      </x:patternFill>
    </x:fill>
    <x:fill>
      <x:patternFill patternType="solid">
        <x:fgColor rgb="FFFFF7CC"/>
      </x:patternFill>
    </x:fill>
    <x:fill>
      <x:patternFill patternType="solid">
        <x:fgColor rgb="FFFFF7CC"/>
      </x:patternFill>
    </x:fill>
    <x:fill>
      <x:patternFill patternType="solid">
        <x:fgColor rgb="FF173B5B"/>
      </x:patternFill>
    </x:fill>
    <x:fill>
      <x:patternFill patternType="solid">
        <x:fgColor rgb="FFE8F2F5"/>
      </x:patternFill>
    </x:fill>
    <x:fill>
      <x:patternFill patternType="solid">
        <x:fgColor rgb="FF277B82"/>
      </x:patternFill>
    </x:fill>
    <x:fill>
      <x:patternFill patternType="solid">
        <x:fgColor rgb="FFFFFFFF"/>
      </x:patternFill>
    </x:fill>
    <x:fill>
      <x:patternFill patternType="solid">
        <x:fgColor rgb="FFFFF3CF"/>
      </x:patternFill>
    </x:fill>
    <x:fill>
      <x:patternFill patternType="solid">
        <x:fgColor rgb="FFE8F8F2"/>
      </x:patternFill>
    </x:fill>
    <x:fill>
      <x:patternFill patternType="solid">
        <x:fgColor rgb="FF173B5B"/>
      </x:patternFill>
    </x:fill>
    <x:fill>
      <x:patternFill patternType="solid">
        <x:fgColor rgb="FF277B82"/>
      </x:patternFill>
    </x:fill>
    <x:fill>
      <x:patternFill patternType="solid">
        <x:fgColor rgb="FFF3F8FA"/>
      </x:patternFill>
    </x:fill>
    <x:fill>
      <x:patternFill patternType="solid">
        <x:fgColor rgb="FFB9E3F3"/>
      </x:patternFill>
    </x:fill>
  </x:fills>
  <x:borders count="10">
    <x:border/>
    <x:border>
      <x:left style="thin">
        <x:color rgb="FFD5DEE5"/>
      </x:left>
      <x:top style="thin">
        <x:color rgb="FFD5DEE5"/>
      </x:top>
      <x:bottom style="thin">
        <x:color rgb="FFD5DEE5"/>
      </x:bottom>
    </x:border>
    <x:border>
      <x:top style="thin">
        <x:color rgb="FFD5DEE5"/>
      </x:top>
      <x:bottom style="thin">
        <x:color rgb="FFD5DEE5"/>
      </x:bottom>
    </x:border>
    <x:border>
      <x:right style="thin">
        <x:color rgb="FFD5DEE5"/>
      </x:right>
      <x:top style="thin">
        <x:color rgb="FFD5DEE5"/>
      </x:top>
      <x:bottom style="thin">
        <x:color rgb="FFD5DEE5"/>
      </x:bottom>
    </x:border>
    <x:border>
      <x:bottom style="thin">
        <x:color rgb="FFD5DEE5"/>
      </x:bottom>
    </x:border>
    <x:border>
      <x:top style="thin">
        <x:color rgb="FFD5DEE5"/>
      </x:top>
    </x:border>
    <x:border>
      <x:left style="thin">
        <x:color rgb="FFFFFFFF"/>
      </x:left>
      <x:right style="thin">
        <x:color rgb="FFFFFFFF"/>
      </x:right>
      <x:top style="thin">
        <x:color rgb="FFFFFFFF"/>
      </x:top>
      <x:bottom style="thin">
        <x:color rgb="FFFFFFFF"/>
      </x:bottom>
    </x:border>
    <x:border>
      <x:left style="thin">
        <x:color rgb="FF59BDE8"/>
      </x:left>
      <x:top style="thin">
        <x:color rgb="FF59BDE8"/>
      </x:top>
      <x:bottom style="thin">
        <x:color rgb="FF59BDE8"/>
      </x:bottom>
    </x:border>
    <x:border>
      <x:top style="thin">
        <x:color rgb="FF59BDE8"/>
      </x:top>
      <x:bottom style="thin">
        <x:color rgb="FF59BDE8"/>
      </x:bottom>
    </x:border>
    <x:border>
      <x:right style="thin">
        <x:color rgb="FF59BDE8"/>
      </x:right>
      <x:top style="thin">
        <x:color rgb="FF59BDE8"/>
      </x:top>
      <x:bottom style="thin">
        <x:color rgb="FF59BDE8"/>
      </x:bottom>
    </x:border>
  </x:borders>
  <x:cellStyleXfs count="1">
    <x:xf numFmtId="0" fontId="0" fillId="0" borderId="0"/>
  </x:cellStyleXfs>
  <x:cellXfs count="23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200" fontId="0" fillId="0" borderId="0" xfId="0" applyNumberFormat="1" applyFont="1" applyFill="1" applyBorder="1"/>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0" fillId="5" borderId="0" xfId="0" applyNumberFormat="1" applyFont="1" applyFill="1" applyBorder="1"/>
    <x:xf numFmtId="200" fontId="0" fillId="5" borderId="0" xfId="0" applyNumberFormat="1" applyFont="1" applyFill="1" applyBorder="1"/>
    <x:xf numFmtId="0" fontId="4" fillId="5" borderId="0" xfId="0" applyNumberFormat="1" applyFont="1" applyFill="1" applyBorder="1"/>
    <x:xf numFmtId="20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200" fontId="4" fillId="5" borderId="2" xfId="0" applyNumberFormat="1" applyFont="1" applyFill="1" applyBorder="1"/>
    <x:xf numFmtId="200" fontId="4" fillId="5" borderId="3" xfId="0" applyNumberFormat="1" applyFont="1" applyFill="1" applyBorder="1"/>
    <x:xf numFmtId="0" fontId="4" fillId="5" borderId="1" xfId="0" applyNumberFormat="1" applyFont="1" applyFill="1" applyBorder="1" applyAlignment="1">
      <x:alignment horizontal="center"/>
    </x:xf>
    <x:xf numFmtId="0" fontId="4" fillId="5" borderId="2" xfId="0" applyNumberFormat="1" applyFont="1" applyFill="1" applyBorder="1" applyAlignment="1">
      <x:alignment horizontal="center"/>
    </x:xf>
    <x:xf numFmtId="200" fontId="4" fillId="5" borderId="2" xfId="0" applyNumberFormat="1" applyFont="1" applyFill="1" applyBorder="1" applyAlignment="1">
      <x:alignment horizontal="center"/>
    </x:xf>
    <x:xf numFmtId="200" fontId="4" fillId="5" borderId="3" xfId="0" applyNumberFormat="1" applyFont="1" applyFill="1" applyBorder="1" applyAlignment="1">
      <x:alignment horizontal="center"/>
    </x:xf>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0" fillId="0" borderId="4" xfId="0" applyNumberFormat="1" applyFont="1" applyFill="1" applyBorder="1"/>
    <x:xf numFmtId="200" fontId="0" fillId="0" borderId="4" xfId="0" applyNumberFormat="1" applyFont="1" applyFill="1" applyBorder="1"/>
    <x:xf numFmtId="0" fontId="0" fillId="0" borderId="2" xfId="0" applyNumberFormat="1" applyFont="1" applyFill="1" applyBorder="1"/>
    <x:xf numFmtId="200" fontId="0" fillId="0" borderId="2" xfId="0" applyNumberFormat="1" applyFont="1" applyFill="1" applyBorder="1"/>
    <x:xf numFmtId="0" fontId="0" fillId="0" borderId="4" xfId="0" applyNumberFormat="1" applyFont="1" applyFill="1" applyBorder="1" applyAlignment="1">
      <x:alignment vertical="center"/>
    </x:xf>
    <x:xf numFmtId="200" fontId="0" fillId="0" borderId="4" xfId="0" applyNumberFormat="1" applyFont="1" applyFill="1" applyBorder="1" applyAlignment="1">
      <x:alignment vertical="center"/>
    </x:xf>
    <x:xf numFmtId="0" fontId="0" fillId="0" borderId="2" xfId="0" applyNumberFormat="1" applyFont="1" applyFill="1" applyBorder="1" applyAlignment="1">
      <x:alignment vertical="center"/>
    </x:xf>
    <x:xf numFmtId="200" fontId="0" fillId="0" borderId="2" xfId="0" applyNumberFormat="1" applyFont="1" applyFill="1" applyBorder="1" applyAlignment="1">
      <x:alignment vertical="center"/>
    </x:xf>
    <x:xf numFmtId="0" fontId="5" fillId="0" borderId="4" xfId="0" applyNumberFormat="1" applyFont="1" applyFill="1" applyBorder="1" applyAlignment="1">
      <x:alignment vertical="center"/>
    </x:xf>
    <x:xf numFmtId="0" fontId="5" fillId="0" borderId="2" xfId="0" applyNumberFormat="1" applyFont="1" applyFill="1" applyBorder="1" applyAlignment="1">
      <x:alignment vertical="center"/>
    </x:xf>
    <x:xf numFmtId="0" fontId="0" fillId="0" borderId="4" xfId="0" applyNumberFormat="1" applyFont="1" applyFill="1" applyBorder="1" applyAlignment="1">
      <x:alignment horizontal="center" vertical="center"/>
    </x:xf>
    <x:xf numFmtId="200" fontId="0" fillId="0" borderId="4" xfId="0" applyNumberFormat="1" applyFont="1" applyFill="1" applyBorder="1" applyAlignment="1">
      <x:alignment horizontal="center" vertical="center"/>
    </x:xf>
    <x:xf numFmtId="0" fontId="0" fillId="0" borderId="2" xfId="0" applyNumberFormat="1" applyFont="1" applyFill="1" applyBorder="1" applyAlignment="1">
      <x:alignment horizontal="center" vertical="center"/>
    </x:xf>
    <x:xf numFmtId="200" fontId="0" fillId="0" borderId="2" xfId="0" applyNumberFormat="1" applyFont="1" applyFill="1" applyBorder="1" applyAlignment="1">
      <x:alignment horizontal="center" vertical="center"/>
    </x:xf>
    <x:xf numFmtId="0" fontId="0" fillId="6" borderId="4" xfId="0" applyNumberFormat="1" applyFont="1" applyFill="1" applyBorder="1" applyAlignment="1">
      <x:alignment vertical="center"/>
    </x:xf>
    <x:xf numFmtId="0" fontId="0" fillId="6" borderId="2" xfId="0" applyNumberFormat="1" applyFont="1" applyFill="1" applyBorder="1" applyAlignment="1">
      <x:alignment vertical="center"/>
    </x:xf>
    <x:xf numFmtId="0" fontId="0" fillId="6" borderId="4" xfId="0" applyNumberFormat="1" applyFont="1" applyFill="1" applyBorder="1" applyAlignment="1">
      <x:alignment vertical="center" wrapText="1"/>
    </x:xf>
    <x:xf numFmtId="0" fontId="0" fillId="6" borderId="2" xfId="0" applyNumberFormat="1" applyFont="1" applyFill="1" applyBorder="1" applyAlignment="1">
      <x:alignment vertical="center" wrapText="1"/>
    </x:xf>
    <x:xf numFmtId="0" fontId="0" fillId="7" borderId="0" xfId="0" applyNumberFormat="1" applyFont="1" applyFill="1" applyBorder="1"/>
    <x:xf numFmtId="0" fontId="6" fillId="7" borderId="0" xfId="0" applyNumberFormat="1" applyFont="1" applyFill="1" applyBorder="1"/>
    <x:xf numFmtId="0" fontId="6" fillId="7" borderId="0" xfId="0" applyNumberFormat="1" applyFont="1" applyFill="1" applyBorder="1" applyAlignment="1">
      <x:alignment wrapText="1"/>
    </x:xf>
    <x:xf numFmtId="0" fontId="7" fillId="0" borderId="0" xfId="0" applyNumberFormat="1" applyFont="1" applyFill="1" applyBorder="1"/>
    <x:xf numFmtId="0" fontId="8" fillId="2" borderId="0" xfId="0" applyNumberFormat="1" applyFont="1" applyFill="1" applyBorder="1"/>
    <x:xf numFmtId="0" fontId="8" fillId="2" borderId="0" xfId="0" applyNumberFormat="1" applyFont="1" applyFill="1" applyBorder="1" applyAlignment="1">
      <x:alignment vertical="center"/>
    </x:xf>
    <x:xf numFmtId="0" fontId="9" fillId="7" borderId="0" xfId="0" applyNumberFormat="1" applyFont="1" applyFill="1" applyBorder="1"/>
    <x:xf numFmtId="0" fontId="9" fillId="7" borderId="0"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201" fontId="0" fillId="0" borderId="0" xfId="0" applyNumberFormat="1" applyFont="1" applyFill="1" applyBorder="1"/>
    <x:xf numFmtId="201" fontId="0" fillId="0" borderId="4" xfId="0" applyNumberFormat="1" applyFont="1" applyFill="1" applyBorder="1"/>
    <x:xf numFmtId="201" fontId="0" fillId="0" borderId="2" xfId="0" applyNumberFormat="1" applyFont="1" applyFill="1" applyBorder="1"/>
    <x:xf numFmtId="0" fontId="0" fillId="0" borderId="5" xfId="0" applyNumberFormat="1" applyFont="1" applyFill="1" applyBorder="1"/>
    <x:xf numFmtId="201" fontId="0" fillId="0" borderId="5" xfId="0" applyNumberFormat="1" applyFont="1" applyFill="1" applyBorder="1"/>
    <x:xf numFmtId="0" fontId="0" fillId="0" borderId="4" xfId="0" applyNumberFormat="1" applyFont="1" applyFill="1" applyBorder="1" applyAlignment="1">
      <x:alignment vertical="top"/>
    </x:xf>
    <x:xf numFmtId="201" fontId="0" fillId="0" borderId="4" xfId="0" applyNumberFormat="1" applyFont="1" applyFill="1" applyBorder="1" applyAlignment="1">
      <x:alignment vertical="top"/>
    </x:xf>
    <x:xf numFmtId="0" fontId="0" fillId="0" borderId="2" xfId="0" applyNumberFormat="1" applyFont="1" applyFill="1" applyBorder="1" applyAlignment="1">
      <x:alignment vertical="top"/>
    </x:xf>
    <x:xf numFmtId="201" fontId="0" fillId="0" borderId="2" xfId="0" applyNumberFormat="1" applyFont="1" applyFill="1" applyBorder="1" applyAlignment="1">
      <x:alignment vertical="top"/>
    </x:xf>
    <x:xf numFmtId="0" fontId="0" fillId="0" borderId="5" xfId="0" applyNumberFormat="1" applyFont="1" applyFill="1" applyBorder="1" applyAlignment="1">
      <x:alignment vertical="top"/>
    </x:xf>
    <x:xf numFmtId="201" fontId="0" fillId="0" borderId="5" xfId="0" applyNumberFormat="1" applyFont="1" applyFill="1" applyBorder="1" applyAlignment="1">
      <x:alignment vertical="top"/>
    </x:xf>
    <x:xf numFmtId="0" fontId="10" fillId="0" borderId="4" xfId="0" applyNumberFormat="1" applyFont="1" applyFill="1" applyBorder="1" applyAlignment="1">
      <x:alignment vertical="top"/>
    </x:xf>
    <x:xf numFmtId="0" fontId="10" fillId="0" borderId="2" xfId="0" applyNumberFormat="1" applyFont="1" applyFill="1" applyBorder="1" applyAlignment="1">
      <x:alignment vertical="top"/>
    </x:xf>
    <x:xf numFmtId="0" fontId="10" fillId="0" borderId="5" xfId="0" applyNumberFormat="1" applyFont="1" applyFill="1" applyBorder="1" applyAlignment="1">
      <x:alignment vertical="top"/>
    </x:xf>
    <x:xf numFmtId="0" fontId="10" fillId="0" borderId="4" xfId="0" applyNumberFormat="1" applyFont="1" applyFill="1" applyBorder="1" applyAlignment="1">
      <x:alignment horizontal="center" vertical="top"/>
    </x:xf>
    <x:xf numFmtId="0" fontId="10" fillId="0" borderId="2" xfId="0" applyNumberFormat="1" applyFont="1" applyFill="1" applyBorder="1" applyAlignment="1">
      <x:alignment horizontal="center" vertical="top"/>
    </x:xf>
    <x:xf numFmtId="0" fontId="10" fillId="0" borderId="5" xfId="0" applyNumberFormat="1" applyFont="1" applyFill="1" applyBorder="1" applyAlignment="1">
      <x:alignment horizontal="center" vertical="top"/>
    </x:xf>
    <x:xf numFmtId="0" fontId="0" fillId="0" borderId="4" xfId="0" applyNumberFormat="1" applyFont="1" applyFill="1" applyBorder="1" applyAlignment="1">
      <x:alignment horizontal="center" vertical="top"/>
    </x:xf>
    <x:xf numFmtId="0" fontId="0" fillId="0" borderId="2" xfId="0" applyNumberFormat="1" applyFont="1" applyFill="1" applyBorder="1" applyAlignment="1">
      <x:alignment horizontal="center" vertical="top"/>
    </x:xf>
    <x:xf numFmtId="0" fontId="0" fillId="0" borderId="5" xfId="0" applyNumberFormat="1" applyFont="1" applyFill="1" applyBorder="1" applyAlignment="1">
      <x:alignment horizontal="center" vertical="top"/>
    </x:xf>
    <x:xf numFmtId="0" fontId="0" fillId="0" borderId="4" xfId="0" applyNumberFormat="1" applyFont="1" applyFill="1" applyBorder="1" applyAlignment="1">
      <x:alignment vertical="top" wrapText="1"/>
    </x:xf>
    <x:xf numFmtId="0" fontId="0" fillId="0" borderId="4" xfId="0" applyNumberFormat="1" applyFont="1" applyFill="1" applyBorder="1" applyAlignment="1">
      <x:alignment horizontal="center" vertical="top" wrapText="1"/>
    </x:xf>
    <x:xf numFmtId="0" fontId="0" fillId="0" borderId="2" xfId="0" applyNumberFormat="1" applyFont="1" applyFill="1" applyBorder="1" applyAlignment="1">
      <x:alignment vertical="top" wrapText="1"/>
    </x:xf>
    <x:xf numFmtId="0" fontId="0" fillId="0" borderId="2" xfId="0" applyNumberFormat="1" applyFont="1" applyFill="1" applyBorder="1" applyAlignment="1">
      <x:alignment horizontal="center" vertical="top" wrapText="1"/>
    </x:xf>
    <x:xf numFmtId="0" fontId="0" fillId="0" borderId="5" xfId="0" applyNumberFormat="1" applyFont="1" applyFill="1" applyBorder="1" applyAlignment="1">
      <x:alignment vertical="top" wrapText="1"/>
    </x:xf>
    <x:xf numFmtId="0" fontId="0" fillId="0" borderId="5" xfId="0" applyNumberFormat="1" applyFont="1" applyFill="1" applyBorder="1" applyAlignment="1">
      <x:alignment horizontal="center" vertical="top" wrapText="1"/>
    </x:xf>
    <x:xf numFmtId="0" fontId="0" fillId="8" borderId="4" xfId="0" applyNumberFormat="1" applyFont="1" applyFill="1" applyBorder="1" applyAlignment="1">
      <x:alignment horizontal="center" vertical="top" wrapText="1"/>
    </x:xf>
    <x:xf numFmtId="0" fontId="0" fillId="8" borderId="4" xfId="0" applyNumberFormat="1" applyFont="1" applyFill="1" applyBorder="1" applyAlignment="1">
      <x:alignment vertical="top" wrapText="1"/>
    </x:xf>
    <x:xf numFmtId="0" fontId="0" fillId="8" borderId="2" xfId="0" applyNumberFormat="1" applyFont="1" applyFill="1" applyBorder="1" applyAlignment="1">
      <x:alignment horizontal="center" vertical="top" wrapText="1"/>
    </x:xf>
    <x:xf numFmtId="0" fontId="0" fillId="8" borderId="2" xfId="0" applyNumberFormat="1" applyFont="1" applyFill="1" applyBorder="1" applyAlignment="1">
      <x:alignment vertical="top" wrapText="1"/>
    </x:xf>
    <x:xf numFmtId="0" fontId="0" fillId="8" borderId="5" xfId="0" applyNumberFormat="1" applyFont="1" applyFill="1" applyBorder="1" applyAlignment="1">
      <x:alignment horizontal="center" vertical="top" wrapText="1"/>
    </x:xf>
    <x:xf numFmtId="0" fontId="0" fillId="8" borderId="5" xfId="0" applyNumberFormat="1" applyFont="1" applyFill="1" applyBorder="1" applyAlignment="1">
      <x:alignment vertical="top" wrapText="1"/>
    </x:xf>
    <x:xf numFmtId="201" fontId="0" fillId="8" borderId="4" xfId="0" applyNumberFormat="1" applyFont="1" applyFill="1" applyBorder="1" applyAlignment="1">
      <x:alignment vertical="top"/>
    </x:xf>
    <x:xf numFmtId="201" fontId="0" fillId="8" borderId="2" xfId="0" applyNumberFormat="1" applyFont="1" applyFill="1" applyBorder="1" applyAlignment="1">
      <x:alignment vertical="top"/>
    </x:xf>
    <x:xf numFmtId="201" fontId="0" fillId="8" borderId="5" xfId="0" applyNumberFormat="1" applyFont="1" applyFill="1" applyBorder="1" applyAlignment="1">
      <x:alignment vertical="top"/>
    </x:xf>
    <x:xf numFmtId="0" fontId="3" fillId="4" borderId="4" xfId="0" applyNumberFormat="1" applyFont="1" applyFill="1" applyBorder="1" applyAlignment="1">
      <x:alignment horizontal="center" wrapText="1"/>
    </x:xf>
    <x:xf numFmtId="0" fontId="3" fillId="4" borderId="4" xfId="0" applyNumberFormat="1" applyFont="1" applyFill="1" applyBorder="1" applyAlignment="1">
      <x:alignment horizontal="center" vertical="top" wrapText="1"/>
    </x:xf>
    <x:xf numFmtId="202" fontId="0" fillId="0" borderId="0" xfId="0" applyNumberFormat="1" applyFont="1" applyFill="1" applyBorder="1"/>
    <x:xf numFmtId="0" fontId="0" fillId="9" borderId="0" xfId="0" applyNumberFormat="1" applyFont="1" applyFill="1" applyBorder="1"/>
    <x:xf numFmtId="0" fontId="3" fillId="9" borderId="0" xfId="0" applyNumberFormat="1" applyFont="1" applyFill="1" applyBorder="1"/>
    <x:xf numFmtId="0" fontId="3" fillId="9" borderId="0" xfId="0" applyNumberFormat="1" applyFont="1" applyFill="1" applyBorder="1" applyAlignment="1">
      <x:alignment wrapText="1"/>
    </x:xf>
    <x:xf numFmtId="0" fontId="3" fillId="9" borderId="0" xfId="0" applyNumberFormat="1" applyFont="1" applyFill="1" applyBorder="1" applyAlignment="1">
      <x:alignment horizontal="center" wrapText="1"/>
    </x:xf>
    <x:xf numFmtId="0" fontId="3" fillId="9" borderId="0" xfId="0" applyNumberFormat="1" applyFont="1" applyFill="1" applyBorder="1" applyAlignment="1">
      <x:alignment horizontal="center" vertical="center" wrapText="1"/>
    </x:xf>
    <x:xf numFmtId="203" fontId="0" fillId="0" borderId="0" xfId="0" applyNumberFormat="1" applyFont="1" applyFill="1" applyBorder="1"/>
    <x:xf numFmtId="202" fontId="0" fillId="0" borderId="2" xfId="0" applyNumberFormat="1" applyFont="1" applyFill="1" applyBorder="1" applyAlignment="1">
      <x:alignment vertical="top"/>
    </x:xf>
    <x:xf numFmtId="202" fontId="0" fillId="0" borderId="5" xfId="0" applyNumberFormat="1" applyFont="1" applyFill="1" applyBorder="1" applyAlignment="1">
      <x:alignment vertical="top"/>
    </x:xf>
    <x:xf numFmtId="203" fontId="0" fillId="10" borderId="0" xfId="0" applyNumberFormat="1" applyFont="1" applyFill="1" applyBorder="1"/>
    <x:xf numFmtId="0" fontId="0" fillId="11" borderId="0" xfId="0" applyNumberFormat="1" applyFont="1" applyFill="1" applyBorder="1"/>
    <x:xf numFmtId="0" fontId="11" fillId="11" borderId="0" xfId="0" applyNumberFormat="1" applyFont="1" applyFill="1" applyBorder="1"/>
    <x:xf numFmtId="0" fontId="11" fillId="11" borderId="0" xfId="0" applyNumberFormat="1" applyFont="1" applyFill="1" applyBorder="1" applyAlignment="1">
      <x:alignment wrapText="1"/>
    </x:xf>
    <x:xf numFmtId="0" fontId="11" fillId="11" borderId="0" xfId="0" applyNumberFormat="1" applyFont="1" applyFill="1" applyBorder="1" applyAlignment="1">
      <x:alignment horizontal="left" wrapText="1"/>
    </x:xf>
    <x:xf numFmtId="0" fontId="11" fillId="11" borderId="0" xfId="0" applyNumberFormat="1" applyFont="1" applyFill="1" applyBorder="1" applyAlignment="1">
      <x:alignment horizontal="left" vertical="center" wrapText="1"/>
    </x:xf>
    <x:xf numFmtId="0" fontId="0" fillId="12" borderId="0" xfId="0" applyNumberFormat="1" applyFont="1" applyFill="1" applyBorder="1"/>
    <x:xf numFmtId="0" fontId="8" fillId="12" borderId="0" xfId="0" applyNumberFormat="1" applyFont="1" applyFill="1" applyBorder="1"/>
    <x:xf numFmtId="0" fontId="8" fillId="12" borderId="0" xfId="0" applyNumberFormat="1" applyFont="1" applyFill="1" applyBorder="1" applyAlignment="1">
      <x:alignment horizontal="left"/>
    </x:xf>
    <x:xf numFmtId="0" fontId="8" fillId="12" borderId="0" xfId="0" applyNumberFormat="1" applyFont="1" applyFill="1" applyBorder="1" applyAlignment="1">
      <x:alignment horizontal="left" vertical="center"/>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vertical="center"/>
    </x:xf>
    <x:xf numFmtId="0" fontId="0" fillId="10" borderId="0" xfId="0" applyNumberFormat="1" applyFont="1" applyFill="1" applyBorder="1"/>
    <x:xf numFmtId="0" fontId="13" fillId="10" borderId="0" xfId="0" applyNumberFormat="1" applyFont="1" applyFill="1" applyBorder="1"/>
    <x:xf numFmtId="0" fontId="13" fillId="10" borderId="0" xfId="0" applyNumberFormat="1" applyFont="1" applyFill="1" applyBorder="1" applyAlignment="1">
      <x:alignment horizontal="center"/>
    </x:xf>
    <x:xf numFmtId="0" fontId="13" fillId="10" borderId="0" xfId="0" applyNumberFormat="1" applyFont="1" applyFill="1" applyBorder="1" applyAlignment="1">
      <x:alignment horizontal="center" vertical="center"/>
    </x:xf>
    <x:xf numFmtId="0" fontId="3" fillId="9" borderId="0" xfId="0" applyNumberFormat="1" applyFont="1" applyFill="1" applyBorder="1" applyAlignment="1">
      <x:alignment horizontal="center"/>
    </x:xf>
    <x:xf numFmtId="0" fontId="3" fillId="9" borderId="0" xfId="0" applyNumberFormat="1" applyFont="1" applyFill="1" applyBorder="1" applyAlignment="1">
      <x:alignment horizontal="center" vertical="center"/>
    </x:xf>
    <x:xf numFmtId="0" fontId="0" fillId="14" borderId="0" xfId="0" applyNumberFormat="1" applyFont="1" applyFill="1" applyBorder="1"/>
    <x:xf numFmtId="0" fontId="14" fillId="14" borderId="0" xfId="0" applyNumberFormat="1" applyFont="1" applyFill="1" applyBorder="1"/>
    <x:xf numFmtId="204" fontId="14" fillId="14" borderId="0" xfId="0" applyNumberFormat="1" applyFont="1" applyFill="1" applyBorder="1"/>
    <x:xf numFmtId="204" fontId="14" fillId="14" borderId="0" xfId="0" applyNumberFormat="1" applyFont="1" applyFill="1" applyBorder="1" applyAlignment="1">
      <x:alignment horizontal="center"/>
    </x:xf>
    <x:xf numFmtId="204" fontId="14" fillId="14" borderId="0" xfId="0" applyNumberFormat="1" applyFont="1" applyFill="1" applyBorder="1" applyAlignment="1">
      <x:alignment horizontal="center" vertical="center"/>
    </x:xf>
    <x:xf numFmtId="205" fontId="14" fillId="14" borderId="0" xfId="0" applyNumberFormat="1" applyFont="1" applyFill="1" applyBorder="1"/>
    <x:xf numFmtId="205" fontId="14" fillId="14" borderId="0" xfId="0" applyNumberFormat="1" applyFont="1" applyFill="1" applyBorder="1" applyAlignment="1">
      <x:alignment horizontal="center"/>
    </x:xf>
    <x:xf numFmtId="205" fontId="14" fillId="14" borderId="0" xfId="0" applyNumberFormat="1" applyFont="1" applyFill="1" applyBorder="1" applyAlignment="1">
      <x:alignment horizontal="center" vertical="center"/>
    </x:xf>
    <x:xf numFmtId="206" fontId="14" fillId="14" borderId="0" xfId="0" applyNumberFormat="1" applyFont="1" applyFill="1" applyBorder="1"/>
    <x:xf numFmtId="206" fontId="14" fillId="14" borderId="0" xfId="0" applyNumberFormat="1" applyFont="1" applyFill="1" applyBorder="1" applyAlignment="1">
      <x:alignment horizontal="center"/>
    </x:xf>
    <x:xf numFmtId="206" fontId="14" fillId="14" borderId="0" xfId="0" applyNumberFormat="1" applyFont="1" applyFill="1" applyBorder="1" applyAlignment="1">
      <x:alignment horizontal="center" vertical="center"/>
    </x:xf>
    <x:xf numFmtId="0" fontId="15" fillId="0" borderId="0" xfId="0" applyNumberFormat="1" applyFont="1" applyFill="1" applyBorder="1"/>
    <x:xf numFmtId="0" fontId="15" fillId="0" borderId="0" xfId="0" applyNumberFormat="1" applyFont="1" applyFill="1" applyBorder="1" applyAlignment="1">
      <x:alignment vertical="center"/>
    </x:xf>
    <x:xf numFmtId="0" fontId="16" fillId="0" borderId="0" xfId="0" applyNumberFormat="1" applyFont="1" applyFill="1" applyBorder="1"/>
    <x:xf numFmtId="0" fontId="16" fillId="0" borderId="0" xfId="0" applyNumberFormat="1" applyFont="1" applyFill="1" applyBorder="1" applyAlignment="1">
      <x:alignment horizontal="right"/>
    </x:xf>
    <x:xf numFmtId="0" fontId="16" fillId="0" borderId="0" xfId="0" applyNumberFormat="1" applyFont="1" applyFill="1" applyBorder="1" applyAlignment="1">
      <x:alignment horizontal="right" vertical="center"/>
    </x:xf>
    <x:xf numFmtId="207" fontId="0" fillId="0" borderId="0" xfId="0" applyNumberFormat="1" applyFont="1" applyFill="1" applyBorder="1"/>
    <x:xf numFmtId="0" fontId="0" fillId="15" borderId="0" xfId="0" applyNumberFormat="1" applyFont="1" applyFill="1" applyBorder="1"/>
    <x:xf numFmtId="0" fontId="17" fillId="15" borderId="0" xfId="0" applyNumberFormat="1" applyFont="1" applyFill="1" applyBorder="1"/>
    <x:xf numFmtId="0" fontId="17" fillId="15" borderId="0" xfId="0" applyNumberFormat="1" applyFont="1" applyFill="1" applyBorder="1" applyAlignment="1">
      <x:alignment horizontal="center"/>
    </x:xf>
    <x:xf numFmtId="0" fontId="17" fillId="15" borderId="0" xfId="0" applyNumberFormat="1" applyFont="1" applyFill="1" applyBorder="1" applyAlignment="1">
      <x:alignment horizontal="center" vertical="center"/>
    </x:xf>
    <x:xf numFmtId="0" fontId="17" fillId="15" borderId="6" xfId="0" applyNumberFormat="1" applyFont="1" applyFill="1" applyBorder="1" applyAlignment="1">
      <x:alignment horizontal="center" vertical="center"/>
    </x:xf>
    <x:xf numFmtId="0" fontId="0" fillId="16" borderId="0" xfId="0" applyNumberFormat="1" applyFont="1" applyFill="1" applyBorder="1"/>
    <x:xf numFmtId="0" fontId="18" fillId="16" borderId="0" xfId="0" applyNumberFormat="1" applyFont="1" applyFill="1" applyBorder="1"/>
    <x:xf numFmtId="0" fontId="18" fillId="16" borderId="0" xfId="0" applyNumberFormat="1" applyFont="1" applyFill="1" applyBorder="1" applyAlignment="1">
      <x:alignment horizontal="center"/>
    </x:xf>
    <x:xf numFmtId="0" fontId="0" fillId="17" borderId="0" xfId="0" applyNumberFormat="1" applyFont="1" applyFill="1" applyBorder="1"/>
    <x:xf numFmtId="0" fontId="19" fillId="17" borderId="0" xfId="0" applyNumberFormat="1" applyFont="1" applyFill="1" applyBorder="1"/>
    <x:xf numFmtId="0" fontId="19" fillId="17" borderId="0" xfId="0" applyNumberFormat="1" applyFont="1" applyFill="1" applyBorder="1" applyAlignment="1">
      <x:alignment horizontal="center"/>
    </x:xf>
    <x:xf numFmtId="0" fontId="0" fillId="18" borderId="0" xfId="0" applyNumberFormat="1" applyFont="1" applyFill="1" applyBorder="1"/>
    <x:xf numFmtId="0" fontId="20" fillId="18" borderId="0" xfId="0" applyNumberFormat="1" applyFont="1" applyFill="1" applyBorder="1"/>
    <x:xf numFmtId="0" fontId="20" fillId="18" borderId="0" xfId="0" applyNumberFormat="1" applyFont="1" applyFill="1" applyBorder="1" applyAlignment="1">
      <x:alignment horizontal="center"/>
    </x:xf>
    <x:xf numFmtId="0" fontId="0" fillId="19" borderId="0" xfId="0" applyNumberFormat="1" applyFont="1" applyFill="1" applyBorder="1"/>
    <x:xf numFmtId="0" fontId="21" fillId="19" borderId="0" xfId="0" applyNumberFormat="1" applyFont="1" applyFill="1" applyBorder="1"/>
    <x:xf numFmtId="0" fontId="21" fillId="19" borderId="0" xfId="0" applyNumberFormat="1" applyFont="1" applyFill="1" applyBorder="1" applyAlignment="1">
      <x:alignment horizontal="center"/>
    </x:xf>
    <x:xf numFmtId="0" fontId="22" fillId="0" borderId="0" xfId="0" applyNumberFormat="1" applyFont="1" applyFill="1" applyBorder="1"/>
    <x:xf numFmtId="0" fontId="22" fillId="15" borderId="0" xfId="0" applyNumberFormat="1" applyFont="1" applyFill="1" applyBorder="1" applyAlignment="1">
      <x:alignment horizontal="center"/>
    </x:xf>
    <x:xf numFmtId="0" fontId="22" fillId="16" borderId="0" xfId="0" applyNumberFormat="1" applyFont="1" applyFill="1" applyBorder="1" applyAlignment="1">
      <x:alignment horizontal="center"/>
    </x:xf>
    <x:xf numFmtId="0" fontId="22" fillId="17" borderId="0" xfId="0" applyNumberFormat="1" applyFont="1" applyFill="1" applyBorder="1" applyAlignment="1">
      <x:alignment horizontal="center"/>
    </x:xf>
    <x:xf numFmtId="0" fontId="22" fillId="18" borderId="0" xfId="0" applyNumberFormat="1" applyFont="1" applyFill="1" applyBorder="1" applyAlignment="1">
      <x:alignment horizontal="center"/>
    </x:xf>
    <x:xf numFmtId="0" fontId="22" fillId="19" borderId="0" xfId="0" applyNumberFormat="1" applyFont="1" applyFill="1" applyBorder="1" applyAlignment="1">
      <x:alignment horizontal="center"/>
    </x:xf>
    <x:xf numFmtId="0" fontId="0" fillId="20" borderId="0" xfId="0" applyNumberFormat="1" applyFont="1" applyFill="1" applyBorder="1"/>
    <x:xf numFmtId="0" fontId="23" fillId="20" borderId="0" xfId="0" applyNumberFormat="1" applyFont="1" applyFill="1" applyBorder="1"/>
    <x:xf numFmtId="0" fontId="0" fillId="21" borderId="0" xfId="0" applyNumberFormat="1" applyFont="1" applyFill="1" applyBorder="1"/>
    <x:xf numFmtId="207" fontId="0" fillId="21" borderId="0" xfId="0" applyNumberFormat="1" applyFont="1" applyFill="1" applyBorder="1"/>
    <x:xf numFmtId="0" fontId="24" fillId="21" borderId="0" xfId="0" applyNumberFormat="1" applyFont="1" applyFill="1" applyBorder="1"/>
    <x:xf numFmtId="207" fontId="24" fillId="21" borderId="0" xfId="0" applyNumberFormat="1" applyFont="1" applyFill="1" applyBorder="1"/>
    <x:xf numFmtId="0" fontId="24" fillId="21" borderId="0" xfId="0" applyNumberFormat="1" applyFont="1" applyFill="1" applyBorder="1" applyAlignment="1">
      <x:alignment horizontal="center"/>
    </x:xf>
    <x:xf numFmtId="207" fontId="24" fillId="21" borderId="0" xfId="0" applyNumberFormat="1" applyFont="1" applyFill="1" applyBorder="1" applyAlignment="1">
      <x:alignment horizontal="center"/>
    </x:xf>
    <x:xf numFmtId="0" fontId="24" fillId="21" borderId="0" xfId="0" applyNumberFormat="1" applyFont="1" applyFill="1" applyBorder="1" applyAlignment="1">
      <x:alignment horizontal="center" vertical="center"/>
    </x:xf>
    <x:xf numFmtId="207" fontId="24" fillId="21" borderId="0" xfId="0" applyNumberFormat="1" applyFont="1" applyFill="1" applyBorder="1" applyAlignment="1">
      <x:alignment horizontal="center" vertical="center"/>
    </x:xf>
    <x:xf numFmtId="203" fontId="0" fillId="22" borderId="0" xfId="0" applyNumberFormat="1" applyFont="1" applyFill="1" applyBorder="1"/>
    <x:xf numFmtId="0" fontId="0" fillId="22" borderId="0" xfId="0" applyNumberFormat="1" applyFont="1" applyFill="1" applyBorder="1"/>
    <x:xf numFmtId="202" fontId="0" fillId="8" borderId="2" xfId="0" applyNumberFormat="1" applyFont="1" applyFill="1" applyBorder="1" applyAlignment="1">
      <x:alignment vertical="top"/>
    </x:xf>
    <x:xf numFmtId="203" fontId="0" fillId="23" borderId="0" xfId="0" applyNumberFormat="1" applyFont="1" applyFill="1" applyBorder="1"/>
    <x:xf numFmtId="0" fontId="0" fillId="23" borderId="0" xfId="0" applyNumberFormat="1" applyFont="1" applyFill="1" applyBorder="1"/>
    <x:xf numFmtId="0" fontId="1" fillId="24" borderId="0" xfId="0" applyNumberFormat="1" applyFont="1" applyFill="1" applyBorder="1" applyAlignment="1">
      <x:alignment vertical="center"/>
    </x:xf>
    <x:xf numFmtId="0" fontId="2" fillId="25" borderId="0" xfId="0" applyNumberFormat="1" applyFont="1" applyFill="1" applyBorder="1" applyAlignment="1">
      <x:alignment wrapText="1"/>
    </x:xf>
    <x:xf numFmtId="0" fontId="25" fillId="25" borderId="0" xfId="0" applyNumberFormat="1" applyFont="1" applyFill="1" applyBorder="1" applyAlignment="1">
      <x:alignment wrapText="1"/>
    </x:xf>
    <x:xf numFmtId="0" fontId="25" fillId="25" borderId="0" xfId="0" applyNumberFormat="1" applyFont="1" applyFill="1" applyBorder="1" applyAlignment="1">
      <x:alignment vertical="center" wrapText="1"/>
    </x:xf>
    <x:xf numFmtId="0" fontId="3" fillId="26" borderId="0" xfId="0" applyNumberFormat="1" applyFont="1" applyFill="1" applyBorder="1" applyAlignment="1">
      <x:alignment horizontal="center"/>
    </x:xf>
    <x:xf numFmtId="0" fontId="26" fillId="26" borderId="0" xfId="0" applyNumberFormat="1" applyFont="1" applyFill="1" applyBorder="1" applyAlignment="1">
      <x:alignment horizontal="center"/>
    </x:xf>
    <x:xf numFmtId="0" fontId="26" fillId="26" borderId="0" xfId="0" applyNumberFormat="1" applyFont="1" applyFill="1" applyBorder="1" applyAlignment="1">
      <x:alignment horizontal="center" vertical="center"/>
    </x:xf>
    <x:xf numFmtId="0" fontId="4" fillId="27" borderId="1" xfId="0" applyNumberFormat="1" applyFont="1" applyFill="1" applyBorder="1" applyAlignment="1">
      <x:alignment horizontal="center"/>
    </x:xf>
    <x:xf numFmtId="0" fontId="4" fillId="27" borderId="2" xfId="0" applyNumberFormat="1" applyFont="1" applyFill="1" applyBorder="1" applyAlignment="1">
      <x:alignment horizontal="center"/>
    </x:xf>
    <x:xf numFmtId="200" fontId="4" fillId="27" borderId="2" xfId="0" applyNumberFormat="1" applyFont="1" applyFill="1" applyBorder="1" applyAlignment="1">
      <x:alignment horizontal="center"/>
    </x:xf>
    <x:xf numFmtId="0" fontId="27" fillId="27" borderId="1" xfId="0" applyNumberFormat="1" applyFont="1" applyFill="1" applyBorder="1" applyAlignment="1">
      <x:alignment horizontal="center"/>
    </x:xf>
    <x:xf numFmtId="0" fontId="27" fillId="27" borderId="2" xfId="0" applyNumberFormat="1" applyFont="1" applyFill="1" applyBorder="1" applyAlignment="1">
      <x:alignment horizontal="center"/>
    </x:xf>
    <x:xf numFmtId="200" fontId="27" fillId="27" borderId="2" xfId="0" applyNumberFormat="1" applyFont="1" applyFill="1" applyBorder="1" applyAlignment="1">
      <x:alignment horizontal="center"/>
    </x:xf>
    <x:xf numFmtId="0" fontId="27" fillId="27" borderId="1" xfId="0" applyNumberFormat="1" applyFont="1" applyFill="1" applyBorder="1" applyAlignment="1">
      <x:alignment horizontal="center" vertical="center"/>
    </x:xf>
    <x:xf numFmtId="0" fontId="27" fillId="27" borderId="2" xfId="0" applyNumberFormat="1" applyFont="1" applyFill="1" applyBorder="1" applyAlignment="1">
      <x:alignment horizontal="center" vertical="center"/>
    </x:xf>
    <x:xf numFmtId="200" fontId="27" fillId="27" borderId="2" xfId="0" applyNumberFormat="1" applyFont="1" applyFill="1" applyBorder="1" applyAlignment="1">
      <x:alignment horizontal="center" vertical="center"/>
    </x:xf>
    <x:xf numFmtId="0" fontId="6" fillId="28" borderId="0" xfId="0" applyNumberFormat="1" applyFont="1" applyFill="1" applyBorder="1" applyAlignment="1">
      <x:alignment wrapText="1"/>
    </x:xf>
    <x:xf numFmtId="0" fontId="28" fillId="28" borderId="0" xfId="0" applyNumberFormat="1" applyFont="1" applyFill="1" applyBorder="1" applyAlignment="1">
      <x:alignment wrapText="1"/>
    </x:xf>
    <x:xf numFmtId="0" fontId="28" fillId="28" borderId="0" xfId="0" applyNumberFormat="1" applyFont="1" applyFill="1" applyBorder="1" applyAlignment="1">
      <x:alignment vertical="center" wrapText="1"/>
    </x:xf>
    <x:xf numFmtId="0" fontId="11" fillId="29" borderId="0" xfId="0" applyNumberFormat="1" applyFont="1" applyFill="1" applyBorder="1" applyAlignment="1">
      <x:alignment horizontal="left" vertical="center" wrapText="1"/>
    </x:xf>
    <x:xf numFmtId="0" fontId="29" fillId="29" borderId="0" xfId="0" applyNumberFormat="1" applyFont="1" applyFill="1" applyBorder="1" applyAlignment="1">
      <x:alignment horizontal="left" vertical="center" wrapText="1"/>
    </x:xf>
    <x:xf numFmtId="0" fontId="7" fillId="27" borderId="0" xfId="0" applyNumberFormat="1" applyFont="1" applyFill="1" applyBorder="1"/>
    <x:xf numFmtId="0" fontId="30" fillId="27" borderId="0" xfId="0" applyNumberFormat="1" applyFont="1" applyFill="1" applyBorder="1"/>
    <x:xf numFmtId="0" fontId="30" fillId="27" borderId="0" xfId="0" applyNumberFormat="1" applyFont="1" applyFill="1" applyBorder="1" applyAlignment="1">
      <x:alignment vertical="center"/>
    </x:xf>
    <x:xf numFmtId="208" fontId="27" fillId="27" borderId="1" xfId="0" applyNumberFormat="1" applyFont="1" applyFill="1" applyBorder="1" applyAlignment="1">
      <x:alignment horizontal="center" vertical="center"/>
    </x:xf>
    <x:xf fontId="27" fillId="27" borderId="2" xfId="0" applyNumberFormat="0" applyFont="1" applyFill="1" applyBorder="1" applyAlignment="1">
      <x:alignment horizontal="center" vertical="center"/>
    </x:xf>
    <x:xf numFmtId="208" fontId="27" fillId="27" borderId="2" xfId="0" applyNumberFormat="1" applyFont="1" applyFill="1" applyBorder="1" applyAlignment="1">
      <x:alignment horizontal="center" vertical="center"/>
    </x:xf>
    <x:xf numFmtId="0" fontId="0" fillId="30" borderId="0" xfId="0" applyNumberFormat="1" applyFont="1" applyFill="1" applyBorder="1"/>
    <x:xf numFmtId="0" fontId="8" fillId="30" borderId="0" xfId="0" applyNumberFormat="1" applyFont="1" applyFill="1" applyBorder="1"/>
    <x:xf numFmtId="0" fontId="0" fillId="31" borderId="0" xfId="0" applyNumberFormat="1" applyFont="1" applyFill="1" applyBorder="1"/>
    <x:xf numFmtId="0" fontId="31" fillId="31" borderId="0" xfId="0" applyNumberFormat="1" applyFont="1" applyFill="1" applyBorder="1"/>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202" fontId="0" fillId="0" borderId="0" xfId="0" applyNumberFormat="1" applyFont="1" applyFill="1" applyBorder="1" applyAlignment="1">
      <x:alignment vertical="top" wrapText="1"/>
    </x:xf>
    <x:xf numFmtId="202" fontId="0" fillId="32" borderId="0" xfId="0" applyNumberFormat="1" applyFont="1" applyFill="1" applyBorder="1" applyAlignment="1">
      <x:alignment vertical="top" wrapText="1"/>
    </x:xf>
    <x:xf numFmtId="0" fontId="0" fillId="32" borderId="0" xfId="0" applyNumberFormat="1" applyFont="1" applyFill="1" applyBorder="1" applyAlignment="1">
      <x:alignment vertical="top" wrapText="1"/>
    </x:xf>
    <x:xf numFmtId="0"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0" fontId="0" fillId="33" borderId="0" xfId="0" applyNumberFormat="1" applyFont="1" applyFill="1" applyBorder="1"/>
    <x:xf numFmtId="0" fontId="0" fillId="33" borderId="0" xfId="0" applyNumberFormat="1" applyFont="1" applyFill="1" applyBorder="1" applyAlignment="1">
      <x:alignment wrapText="1"/>
    </x:xf>
    <x:xf numFmtId="0" fontId="0" fillId="33" borderId="0" xfId="0" applyNumberFormat="1" applyFont="1" applyFill="1" applyBorder="1" applyAlignment="1">
      <x:alignment vertical="center" wrapText="1"/>
    </x:xf>
    <x:xf numFmtId="0" fontId="0" fillId="33" borderId="0" xfId="0" applyNumberFormat="1" applyFont="1" applyFill="1" applyBorder="1" applyAlignment="1">
      <x:alignment horizontal="center" vertical="center" wrapText="1"/>
    </x:xf>
    <x:xf numFmtId="0" fontId="0" fillId="33" borderId="0" xfId="0" applyNumberFormat="1" applyFont="1" applyFill="1" applyBorder="1" applyAlignment="1">
      <x:alignment horizontal="left" vertical="center" wrapText="1"/>
    </x:xf>
    <x:xf numFmtId="202" fontId="0" fillId="33" borderId="0" xfId="0" applyNumberFormat="1" applyFont="1" applyFill="1" applyBorder="1" applyAlignment="1">
      <x:alignment horizontal="center" vertical="center" wrapText="1"/>
    </x:xf>
    <x:xf numFmtId="202" fontId="0" fillId="33" borderId="7" xfId="0" applyNumberFormat="1" applyFont="1" applyFill="1" applyBorder="1" applyAlignment="1">
      <x:alignment horizontal="center" vertical="center" wrapText="1"/>
    </x:xf>
    <x:xf numFmtId="0" fontId="0" fillId="33" borderId="8" xfId="0" applyNumberFormat="1" applyFont="1" applyFill="1" applyBorder="1" applyAlignment="1">
      <x:alignment horizontal="center" vertical="center" wrapText="1"/>
    </x:xf>
    <x:xf numFmtId="0" fontId="0" fillId="33" borderId="8" xfId="0" applyNumberFormat="1" applyFont="1" applyFill="1" applyBorder="1" applyAlignment="1">
      <x:alignment horizontal="left" vertical="center" wrapText="1"/>
    </x:xf>
    <x:xf numFmtId="0" fontId="0" fillId="33" borderId="9" xfId="0" applyNumberFormat="1" applyFont="1" applyFill="1" applyBorder="1" applyAlignment="1">
      <x:alignment horizontal="left"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horizontal="center" vertical="center" wrapText="1"/>
    </x:xf>
    <x:xf numFmtId="0" fontId="0" fillId="0" borderId="0" xfId="0" applyNumberFormat="1" applyFont="1" applyFill="1" applyBorder="1" applyAlignment="1">
      <x:alignment horizontal="left" vertical="center" wrapText="1"/>
    </x:xf>
    <x:xf numFmtId="202" fontId="0" fillId="0" borderId="0" xfId="0" applyNumberFormat="1" applyFont="1" applyFill="1" applyBorder="1" applyAlignment="1">
      <x:alignment horizontal="center" vertical="center" wrapText="1"/>
    </x:xf>
    <x:xf numFmtId="201" fontId="0" fillId="33" borderId="7" xfId="0" applyNumberFormat="1" applyFont="1" applyFill="1" applyBorder="1" applyAlignment="1">
      <x:alignment horizontal="center" vertical="center" wrapText="1"/>
    </x:xf>
    <x:xf numFmtId="201" fontId="0" fillId="0" borderId="0" xfId="0" applyNumberFormat="1" applyFont="1" applyFill="1" applyBorder="1" applyAlignment="1">
      <x:alignment horizontal="center" vertical="center" wrapText="1"/>
    </x:xf>
    <x:xf numFmtId="201" fontId="0" fillId="0" borderId="0" xfId="0" applyNumberFormat="1" applyFont="1" applyFill="1" applyBorder="1" applyAlignment="1">
      <x:alignment vertical="center" wrapText="1"/>
    </x:xf>
    <x:xf numFmtId="0" fontId="10" fillId="0" borderId="2" xfId="0" applyNumberFormat="1" applyFont="1" applyFill="1" applyBorder="1" applyAlignment="1">
      <x:alignment horizontal="center" vertical="top" wrapText="1"/>
    </x:xf>
    <x:xf numFmtId="201" fontId="0" fillId="8" borderId="2" xfId="0" applyNumberFormat="1" applyFont="1" applyFill="1" applyBorder="1" applyAlignment="1">
      <x:alignment vertical="top" wrapText="1"/>
    </x:xf>
  </x:cellXfs>
  <x:cellStyles count="1">
    <x:cellStyle name="Normal" xfId="0"/>
  </x:cellStyles>
  <x:dxfs count="10">
    <x:dxf>
      <x:font>
        <x:b/>
        <x:color rgb="FF17603A"/>
      </x:font>
      <x:fill>
        <x:patternFill>
          <x:bgColor rgb="FFD8F3E5"/>
        </x:patternFill>
      </x:fill>
    </x:dxf>
    <x:dxf>
      <x:font>
        <x:b/>
        <x:color rgb="FF1C4D7A"/>
      </x:font>
      <x:fill>
        <x:patternFill>
          <x:bgColor rgb="FFDCEBFA"/>
        </x:patternFill>
      </x:fill>
    </x:dxf>
    <x:dxf>
      <x:font>
        <x:b/>
        <x:color rgb="FF7A5500"/>
      </x:font>
      <x:fill>
        <x:patternFill>
          <x:bgColor rgb="FFFFF0C2"/>
        </x:patternFill>
      </x:fill>
    </x:dxf>
    <x:dxf>
      <x:font>
        <x:color rgb="FF53616D"/>
      </x:font>
      <x:fill>
        <x:patternFill>
          <x:bgColor rgb="FFEEF1F4"/>
        </x:patternFill>
      </x:fill>
    </x:dxf>
    <x:dxf>
      <x:font>
        <x:b/>
        <x:color rgb="FF8A1C12"/>
      </x:font>
      <x:fill>
        <x:patternFill>
          <x:bgColor rgb="FFFADBD8"/>
        </x:patternFill>
      </x:fill>
    </x:dxf>
    <x:dxf>
      <x:font>
        <x:color rgb="FFEBEDF0"/>
      </x:font>
      <x:fill>
        <x:patternFill>
          <x:bgColor rgb="FFEBEDF0"/>
        </x:patternFill>
      </x:fill>
    </x:dxf>
    <x:dxf>
      <x:font>
        <x:color rgb="FF9BE9A8"/>
      </x:font>
      <x:fill>
        <x:patternFill>
          <x:bgColor rgb="FF9BE9A8"/>
        </x:patternFill>
      </x:fill>
    </x:dxf>
    <x:dxf>
      <x:font>
        <x:color rgb="FF40C463"/>
      </x:font>
      <x:fill>
        <x:patternFill>
          <x:bgColor rgb="FF40C463"/>
        </x:patternFill>
      </x:fill>
    </x:dxf>
    <x:dxf>
      <x:font>
        <x:color rgb="FF30A14E"/>
      </x:font>
      <x:fill>
        <x:patternFill>
          <x:bgColor rgb="FF30A14E"/>
        </x:patternFill>
      </x:fill>
    </x:dxf>
    <x:dxf>
      <x:font>
        <x:color rgb="FF216E39"/>
      </x:font>
      <x:fill>
        <x:patternFill>
          <x:bgColor rgb="FF216E3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59b2adae6754d67" /><Relationship Type="http://schemas.openxmlformats.org/officeDocument/2006/relationships/theme" Target="/xl/theme/theme1.xml" Id="R835c4cea3ebc47d3" /><Relationship Type="http://schemas.openxmlformats.org/officeDocument/2006/relationships/sharedStrings" Target="/xl/sharedStrings.xml" Id="R2d1b2fb6184244b7" /><Relationship Type="http://schemas.openxmlformats.org/officeDocument/2006/relationships/worksheet" Target="/xl/worksheets/sheet1.xml" Id="R8c2b181042484d8f" /><Relationship Type="http://schemas.openxmlformats.org/officeDocument/2006/relationships/worksheet" Target="/xl/worksheets/sheet2.xml" Id="R7fb24257b8134f82" /><Relationship Type="http://schemas.openxmlformats.org/officeDocument/2006/relationships/worksheet" Target="/xl/worksheets/sheet3.xml" Id="R288bb67059c445b8" /></Relationships>
</file>

<file path=xl/tables/table1.xml><?xml version="1.0" encoding="utf-8"?>
<x:table xmlns:x="http://schemas.openxmlformats.org/spreadsheetml/2006/main" id="7" name="ImplementationTasks" displayName="ImplementationTasks" ref="A4:L96" headerRowCount="1" totalsRowCount="0" totalsRowShown="0">
  <x:autoFilter ref="A4:L96"/>
  <x:tableColumns count="12">
    <x:tableColumn id="1" name="ID"/>
    <x:tableColumn id="2" name="完了"/>
    <x:tableColumn id="3" name="カテゴリ"/>
    <x:tableColumn id="4" name="作業領域"/>
    <x:tableColumn id="5" name="タスク"/>
    <x:tableColumn id="6" name="状態"/>
    <x:tableColumn id="7" name="優先度"/>
    <x:tableColumn id="8" name="現状・実績"/>
    <x:tableColumn id="9" name="次の作業"/>
    <x:tableColumn id="10" name="完了条件"/>
    <x:tableColumn id="11" name="関連ファイル／サービス"/>
    <x:tableColumn id="12" name="最終更新日"/>
  </x:tableColumns>
  <x:tableStyleInfo name="TableStyleMedium2" showFirstColumn="0" showLastColumn="0" showRowStripes="1" showColumnStripes="0"/>
</x:table>
</file>

<file path=xl/tables/table2.xml><?xml version="1.0" encoding="utf-8"?>
<x:table xmlns:x="http://schemas.openxmlformats.org/spreadsheetml/2006/main" id="6" name="ProgressHistory" displayName="ProgressHistory" ref="A3:F19" headerRowCount="1" totalsRowCount="0" totalsRowShown="0">
  <x:tableColumns count="6">
    <x:tableColumn id="1" name="更新日"/>
    <x:tableColumn id="2" name="カテゴリ"/>
    <x:tableColumn id="3" name="更新内容"/>
    <x:tableColumn id="4" name="関連タスクID"/>
    <x:tableColumn id="5" name="Gitコミット"/>
    <x:tableColumn id="6" name="更新者・備考"/>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d6ad80f984b4e34" /></Relationships>
</file>

<file path=xl/worksheets/_rels/sheet3.xml.rels>&#65279;<?xml version="1.0" encoding="utf-8"?><Relationships xmlns="http://schemas.openxmlformats.org/package/2006/relationships"><Relationship Type="http://schemas.openxmlformats.org/officeDocument/2006/relationships/table" Target="/xl/tables/table2.xml" Id="R041fd1e859484e74"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1" hidden="0" customWidth="1"/>
    <x:col min="3" max="3" width="11" hidden="0" customWidth="1"/>
    <x:col min="4" max="4" width="11" hidden="0" customWidth="1"/>
    <x:col min="5" max="5" width="11" hidden="0" customWidth="1"/>
    <x:col min="6" max="6" width="11" hidden="0" customWidth="1"/>
    <x:col min="7" max="7" width="11" hidden="0" customWidth="1"/>
    <x:col min="8" max="8" width="46" hidden="0" customWidth="1"/>
    <x:col min="9" max="9" width="13" hidden="0" customWidth="1"/>
    <x:col min="10" max="10" width="13" hidden="0" customWidth="1"/>
  </x:cols>
  <x:sheetData>
    <x:row r="1" ht="36" customHeight="1">
      <x:c r="A1" s="175" t="str">
        <x:v>essay_training_system 開発進捗</x:v>
      </x:c>
      <x:c r="B1" s="175" t="str"/>
      <x:c r="C1" s="175" t="str"/>
      <x:c r="D1" s="175" t="str"/>
      <x:c r="E1" s="175" t="str"/>
      <x:c r="F1" s="175" t="str"/>
      <x:c r="G1" s="175" t="str"/>
      <x:c r="H1" s="175" t="str"/>
      <x:c r="I1" s="175" t="str"/>
      <x:c r="J1" s="3"/>
    </x:row>
    <x:row r="2" ht="30" customHeight="1">
      <x:c r="A2" s="178" t="str">
        <x:v>状態は「実装タスク」シートで更新します。作業完了時は状態・現状・次の作業・更新日・更新履歴を必ず更新します。</x:v>
      </x:c>
      <x:c r="B2" s="178" t="str"/>
      <x:c r="C2" s="178" t="str"/>
      <x:c r="D2" s="178" t="str"/>
      <x:c r="E2" s="178" t="str"/>
      <x:c r="F2" s="178" t="str"/>
      <x:c r="G2" s="178" t="str"/>
      <x:c r="H2" s="178" t="str"/>
      <x:c r="I2" s="178" t="str"/>
      <x:c r="J2" s="6"/>
    </x:row>
    <x:row r="3">
      <x:c r="A3"/>
      <x:c r="B3"/>
      <x:c r="C3"/>
      <x:c r="D3"/>
      <x:c r="E3"/>
      <x:c r="F3"/>
      <x:c r="G3"/>
      <x:c r="H3"/>
      <x:c r="I3"/>
    </x:row>
    <x:row r="4" ht="25" customHeight="1">
      <x:c r="A4" s="181" t="str">
        <x:v>総タスク</x:v>
      </x:c>
      <x:c r="B4" s="181" t="str"/>
      <x:c r="C4" s="181" t="str">
        <x:v>完了</x:v>
      </x:c>
      <x:c r="D4" s="181" t="str"/>
      <x:c r="E4" s="181" t="str">
        <x:v>進行中</x:v>
      </x:c>
      <x:c r="F4" s="181" t="str"/>
      <x:c r="G4" s="181" t="str">
        <x:v>要確認</x:v>
      </x:c>
      <x:c r="H4" s="181" t="str"/>
      <x:c r="I4" s="181" t="str">
        <x:v>全体完了率</x:v>
      </x:c>
      <x:c r="J4" s="10"/>
    </x:row>
    <x:row r="5" ht="25" customHeight="1">
      <x:c r="A5" s="199" t="n">
        <x:f>COUNTA('実装タスク'!$A$5:$A$96)</x:f>
        <x:v>92</x:v>
      </x:c>
      <x:c r="B5" s="200" t="str"/>
      <x:c r="C5" s="201" t="n">
        <x:f>COUNTIF('実装タスク'!$F$5:$F$96,"完了")</x:f>
        <x:v>51</x:v>
      </x:c>
      <x:c r="D5" s="200" t="str"/>
      <x:c r="E5" s="201" t="n">
        <x:f>COUNTIF('実装タスク'!$F$5:$F$96,"進行中")</x:f>
        <x:v>16</x:v>
      </x:c>
      <x:c r="F5" s="200" t="str"/>
      <x:c r="G5" s="201" t="n">
        <x:f>COUNTIF('実装タスク'!$F$5:$F$96,"要確認")</x:f>
        <x:v>6</x:v>
      </x:c>
      <x:c r="H5" s="200" t="str"/>
      <x:c r="I5" s="190" t="n">
        <x:f>IFERROR(C5/A5,0)</x:f>
        <x:v>0.5543478260869565</x:v>
      </x:c>
      <x:c r="J5" s="22"/>
    </x:row>
    <x:row r="6">
      <x:c r="A6"/>
      <x:c r="B6"/>
      <x:c r="C6"/>
      <x:c r="D6"/>
      <x:c r="E6"/>
      <x:c r="F6"/>
      <x:c r="G6"/>
      <x:c r="H6"/>
      <x:c r="I6"/>
    </x:row>
    <x:row r="7">
      <x:c r="A7"/>
      <x:c r="B7"/>
      <x:c r="C7"/>
      <x:c r="D7"/>
      <x:c r="E7"/>
      <x:c r="F7"/>
      <x:c r="G7"/>
      <x:c r="H7"/>
      <x:c r="I7"/>
    </x:row>
    <x:row r="8">
      <x:c r="A8" s="25" t="str">
        <x:v>カテゴリ</x:v>
      </x:c>
      <x:c r="B8" s="25" t="str">
        <x:v>完了</x:v>
      </x:c>
      <x:c r="C8" s="25" t="str">
        <x:v>進行中</x:v>
      </x:c>
      <x:c r="D8" s="25" t="str">
        <x:v>未着手</x:v>
      </x:c>
      <x:c r="E8" s="25" t="str">
        <x:v>要確認</x:v>
      </x:c>
      <x:c r="F8" s="25" t="str">
        <x:v>合計</x:v>
      </x:c>
      <x:c r="G8" s="25" t="str">
        <x:v>完了率</x:v>
      </x:c>
      <x:c r="H8" s="25" t="str">
        <x:v>次の主要作業</x:v>
      </x:c>
      <x:c r="I8"/>
    </x:row>
    <x:row r="9" ht="31" customHeight="1">
      <x:c r="A9" s="34" t="str">
        <x:v>基盤・開発環境</x:v>
      </x:c>
      <x:c r="B9" s="36" t="n">
        <x:f>COUNTIFS('実装タスク'!$C$5:$C$96,$A9,'実装タスク'!$F$5:$F$96,"完了")</x:f>
        <x:v>6</x:v>
      </x:c>
      <x:c r="C9" s="36" t="n">
        <x:f>COUNTIFS('実装タスク'!$C$5:$C$96,$A9,'実装タスク'!$F$5:$F$96,"進行中")</x:f>
        <x:v>2</x:v>
      </x:c>
      <x:c r="D9" s="36" t="n">
        <x:f>COUNTIFS('実装タスク'!$C$5:$C$96,$A9,'実装タスク'!$F$5:$F$96,"未着手")</x:f>
        <x:v>0</x:v>
      </x:c>
      <x:c r="E9" s="36" t="n">
        <x:f>COUNTIFS('実装タスク'!$C$5:$C$96,$A9,'実装タスク'!$F$5:$F$96,"要確認")</x:f>
        <x:v>0</x:v>
      </x:c>
      <x:c r="F9" s="36" t="n">
        <x:f>SUM(B9:E9)</x:f>
        <x:v>8</x:v>
      </x:c>
      <x:c r="G9" s="37" t="n">
        <x:f>IFERROR(B9/F9,0)</x:f>
        <x:v>0.75</x:v>
      </x:c>
      <x:c r="H9" s="42" t="str">
        <x:v>.tool-versionsをコミットし、Playwright基盤を追加</x:v>
      </x:c>
      <x:c r="I9"/>
    </x:row>
    <x:row r="10" ht="31" customHeight="1">
      <x:c r="A10" s="35" t="str">
        <x:v>アプリ本体・学習機能</x:v>
      </x:c>
      <x:c r="B10" s="38" t="n">
        <x:f>COUNTIFS('実装タスク'!$C$5:$C$96,$A10,'実装タスク'!$F$5:$F$96,"完了")</x:f>
        <x:v>12</x:v>
      </x:c>
      <x:c r="C10" s="38" t="n">
        <x:f>COUNTIFS('実装タスク'!$C$5:$C$96,$A10,'実装タスク'!$F$5:$F$96,"進行中")</x:f>
        <x:v>3</x:v>
      </x:c>
      <x:c r="D10" s="38" t="n">
        <x:f>COUNTIFS('実装タスク'!$C$5:$C$96,$A10,'実装タスク'!$F$5:$F$96,"未着手")</x:f>
        <x:v>0</x:v>
      </x:c>
      <x:c r="E10" s="38" t="n">
        <x:f>COUNTIFS('実装タスク'!$C$5:$C$96,$A10,'実装タスク'!$F$5:$F$96,"要確認")</x:f>
        <x:v>1</x:v>
      </x:c>
      <x:c r="F10" s="38" t="n">
        <x:f>SUM(B10:E10)</x:f>
        <x:v>16</x:v>
      </x:c>
      <x:c r="G10" s="39" t="n">
        <x:f>IFERROR(B10/F10,0)</x:f>
        <x:v>0.75</x:v>
      </x:c>
      <x:c r="H10" s="43" t="str">
        <x:v>認証済みE2Eで段階1の5問セット・段階7・段階14修了を確認</x:v>
      </x:c>
      <x:c r="I10"/>
    </x:row>
    <x:row r="11" ht="31" customHeight="1">
      <x:c r="A11" s="35" t="str">
        <x:v>カリキュラム</x:v>
      </x:c>
      <x:c r="B11" s="38" t="n">
        <x:f>COUNTIFS('実装タスク'!$C$5:$C$96,$A11,'実装タスク'!$F$5:$F$96,"完了")</x:f>
        <x:v>11</x:v>
      </x:c>
      <x:c r="C11" s="38" t="n">
        <x:f>COUNTIFS('実装タスク'!$C$5:$C$96,$A11,'実装タスク'!$F$5:$F$96,"進行中")</x:f>
        <x:v>0</x:v>
      </x:c>
      <x:c r="D11" s="38" t="n">
        <x:f>COUNTIFS('実装タスク'!$C$5:$C$96,$A11,'実装タスク'!$F$5:$F$96,"未着手")</x:f>
        <x:v>0</x:v>
      </x:c>
      <x:c r="E11" s="38" t="n">
        <x:f>COUNTIFS('実装タスク'!$C$5:$C$96,$A11,'実装タスク'!$F$5:$F$96,"要確認")</x:f>
        <x:v>0</x:v>
      </x:c>
      <x:c r="F11" s="38" t="n">
        <x:f>SUM(B11:E11)</x:f>
        <x:v>11</x:v>
      </x:c>
      <x:c r="G11" s="39" t="n">
        <x:f>IFERROR(B11/F11,0)</x:f>
        <x:v>1</x:v>
      </x:c>
      <x:c r="H11" s="43" t="str">
        <x:v>実利用ログで14段階の負荷・技能分類・標準合格数をレビュー</x:v>
      </x:c>
      <x:c r="I11"/>
    </x:row>
    <x:row r="12" ht="31" customHeight="1">
      <x:c r="A12" s="35" t="str">
        <x:v>認証・アカウント</x:v>
      </x:c>
      <x:c r="B12" s="38" t="n">
        <x:f>COUNTIFS('実装タスク'!$C$5:$C$96,$A12,'実装タスク'!$F$5:$F$96,"完了")</x:f>
        <x:v>6</x:v>
      </x:c>
      <x:c r="C12" s="38" t="n">
        <x:f>COUNTIFS('実装タスク'!$C$5:$C$96,$A12,'実装タスク'!$F$5:$F$96,"進行中")</x:f>
        <x:v>0</x:v>
      </x:c>
      <x:c r="D12" s="38" t="n">
        <x:f>COUNTIFS('実装タスク'!$C$5:$C$96,$A12,'実装タスク'!$F$5:$F$96,"未着手")</x:f>
        <x:v>1</x:v>
      </x:c>
      <x:c r="E12" s="38" t="n">
        <x:f>COUNTIFS('実装タスク'!$C$5:$C$96,$A12,'実装タスク'!$F$5:$F$96,"要確認")</x:f>
        <x:v>0</x:v>
      </x:c>
      <x:c r="F12" s="38" t="n">
        <x:f>SUM(B12:E12)</x:f>
        <x:v>7</x:v>
      </x:c>
      <x:c r="G12" s="39" t="n">
        <x:f>IFERROR(B12/F12,0)</x:f>
        <x:v>0.8571428571428571</x:v>
      </x:c>
      <x:c r="H12" s="43" t="str">
        <x:v>実メールで登録・確認・再設定を検証し、認証済みE2Eを追加</x:v>
      </x:c>
      <x:c r="I12"/>
    </x:row>
    <x:row r="13" ht="31" customHeight="1">
      <x:c r="A13" s="35" t="str">
        <x:v>DB・権限</x:v>
      </x:c>
      <x:c r="B13" s="38" t="n">
        <x:f>COUNTIFS('実装タスク'!$C$5:$C$96,$A13,'実装タスク'!$F$5:$F$96,"完了")</x:f>
        <x:v>10</x:v>
      </x:c>
      <x:c r="C13" s="38" t="n">
        <x:f>COUNTIFS('実装タスク'!$C$5:$C$96,$A13,'実装タスク'!$F$5:$F$96,"進行中")</x:f>
        <x:v>0</x:v>
      </x:c>
      <x:c r="D13" s="38" t="n">
        <x:f>COUNTIFS('実装タスク'!$C$5:$C$96,$A13,'実装タスク'!$F$5:$F$96,"未着手")</x:f>
        <x:v>1</x:v>
      </x:c>
      <x:c r="E13" s="38" t="n">
        <x:f>COUNTIFS('実装タスク'!$C$5:$C$96,$A13,'実装タスク'!$F$5:$F$96,"要確認")</x:f>
        <x:v>0</x:v>
      </x:c>
      <x:c r="F13" s="38" t="n">
        <x:f>SUM(B13:E13)</x:f>
        <x:v>11</x:v>
      </x:c>
      <x:c r="G13" s="39" t="n">
        <x:f>IFERROR(B13/F13,0)</x:f>
        <x:v>0.9090909090909091</x:v>
      </x:c>
      <x:c r="H13" s="43" t="str">
        <x:v>既存利用者の段階ID移行と複数端末同期をE2E確認</x:v>
      </x:c>
      <x:c r="I13"/>
    </x:row>
    <x:row r="14" ht="31" customHeight="1">
      <x:c r="A14" s="35" t="str">
        <x:v>AI添削</x:v>
      </x:c>
      <x:c r="B14" s="38" t="n">
        <x:f>COUNTIFS('実装タスク'!$C$5:$C$96,$A14,'実装タスク'!$F$5:$F$96,"完了")</x:f>
        <x:v>2</x:v>
      </x:c>
      <x:c r="C14" s="38" t="n">
        <x:f>COUNTIFS('実装タスク'!$C$5:$C$96,$A14,'実装タスク'!$F$5:$F$96,"進行中")</x:f>
        <x:v>5</x:v>
      </x:c>
      <x:c r="D14" s="38" t="n">
        <x:f>COUNTIFS('実装タスク'!$C$5:$C$96,$A14,'実装タスク'!$F$5:$F$96,"未着手")</x:f>
        <x:v>0</x:v>
      </x:c>
      <x:c r="E14" s="38" t="n">
        <x:f>COUNTIFS('実装タスク'!$C$5:$C$96,$A14,'実装タスク'!$F$5:$F$96,"要確認")</x:f>
        <x:v>2</x:v>
      </x:c>
      <x:c r="F14" s="38" t="n">
        <x:f>SUM(B14:E14)</x:f>
        <x:v>9</x:v>
      </x:c>
      <x:c r="G14" s="39" t="n">
        <x:f>IFERROR(B14/F14,0)</x:f>
        <x:v>0.2222222222222222</x:v>
      </x:c>
      <x:c r="H14" s="43" t="str">
        <x:v>Claude Edge Functionへ段階別添削指示・出力検証・利用量記録を接続</x:v>
      </x:c>
      <x:c r="I14"/>
    </x:row>
    <x:row r="15" ht="31" customHeight="1">
      <x:c r="A15" s="35" t="str">
        <x:v>課金・利用権</x:v>
      </x:c>
      <x:c r="B15" s="38" t="n">
        <x:f>COUNTIFS('実装タスク'!$C$5:$C$96,$A15,'実装タスク'!$F$5:$F$96,"完了")</x:f>
        <x:v>1</x:v>
      </x:c>
      <x:c r="C15" s="38" t="n">
        <x:f>COUNTIFS('実装タスク'!$C$5:$C$96,$A15,'実装タスク'!$F$5:$F$96,"進行中")</x:f>
        <x:v>0</x:v>
      </x:c>
      <x:c r="D15" s="38" t="n">
        <x:f>COUNTIFS('実装タスク'!$C$5:$C$96,$A15,'実装タスク'!$F$5:$F$96,"未着手")</x:f>
        <x:v>4</x:v>
      </x:c>
      <x:c r="E15" s="38" t="n">
        <x:f>COUNTIFS('実装タスク'!$C$5:$C$96,$A15,'実装タスク'!$F$5:$F$96,"要確認")</x:f>
        <x:v>1</x:v>
      </x:c>
      <x:c r="F15" s="38" t="n">
        <x:f>SUM(B15:E15)</x:f>
        <x:v>6</x:v>
      </x:c>
      <x:c r="G15" s="39" t="n">
        <x:f>IFERROR(B15/F15,0)</x:f>
        <x:v>0.16666666666666666</x:v>
      </x:c>
      <x:c r="H15" s="43" t="str">
        <x:v>学習機能検証後に料金・利用上限を確定</x:v>
      </x:c>
      <x:c r="I15"/>
    </x:row>
    <x:row r="16" ht="31" customHeight="1">
      <x:c r="A16" s="35" t="str">
        <x:v>管理者機能</x:v>
      </x:c>
      <x:c r="B16" s="38" t="n">
        <x:f>COUNTIFS('実装タスク'!$C$5:$C$96,$A16,'実装タスク'!$F$5:$F$96,"完了")</x:f>
        <x:v>0</x:v>
      </x:c>
      <x:c r="C16" s="38" t="n">
        <x:f>COUNTIFS('実装タスク'!$C$5:$C$96,$A16,'実装タスク'!$F$5:$F$96,"進行中")</x:f>
        <x:v>0</x:v>
      </x:c>
      <x:c r="D16" s="38" t="n">
        <x:f>COUNTIFS('実装タスク'!$C$5:$C$96,$A16,'実装タスク'!$F$5:$F$96,"未着手")</x:f>
        <x:v>4</x:v>
      </x:c>
      <x:c r="E16" s="38" t="n">
        <x:f>COUNTIFS('実装タスク'!$C$5:$C$96,$A16,'実装タスク'!$F$5:$F$96,"要確認")</x:f>
        <x:v>0</x:v>
      </x:c>
      <x:c r="F16" s="38" t="n">
        <x:f>SUM(B16:E16)</x:f>
        <x:v>4</x:v>
      </x:c>
      <x:c r="G16" s="39" t="n">
        <x:f>IFERROR(B16/F16,0)</x:f>
        <x:v>0</x:v>
      </x:c>
      <x:c r="H16" s="43" t="str">
        <x:v>認証・DB完成後に管理者ルートを実装</x:v>
      </x:c>
      <x:c r="I16"/>
    </x:row>
    <x:row r="17" ht="31" customHeight="1">
      <x:c r="A17" s="35" t="str">
        <x:v>メール・通知</x:v>
      </x:c>
      <x:c r="B17" s="38" t="n">
        <x:f>COUNTIFS('実装タスク'!$C$5:$C$96,$A17,'実装タスク'!$F$5:$F$96,"完了")</x:f>
        <x:v>0</x:v>
      </x:c>
      <x:c r="C17" s="38" t="n">
        <x:f>COUNTIFS('実装タスク'!$C$5:$C$96,$A17,'実装タスク'!$F$5:$F$96,"進行中")</x:f>
        <x:v>0</x:v>
      </x:c>
      <x:c r="D17" s="38" t="n">
        <x:f>COUNTIFS('実装タスク'!$C$5:$C$96,$A17,'実装タスク'!$F$5:$F$96,"未着手")</x:f>
        <x:v>3</x:v>
      </x:c>
      <x:c r="E17" s="38" t="n">
        <x:f>COUNTIFS('実装タスク'!$C$5:$C$96,$A17,'実装タスク'!$F$5:$F$96,"要確認")</x:f>
        <x:v>0</x:v>
      </x:c>
      <x:c r="F17" s="38" t="n">
        <x:f>SUM(B17:E17)</x:f>
        <x:v>3</x:v>
      </x:c>
      <x:c r="G17" s="39" t="n">
        <x:f>IFERROR(B17/F17,0)</x:f>
        <x:v>0</x:v>
      </x:c>
      <x:c r="H17" s="43" t="str">
        <x:v>認証導線と独自ドメイン確定後に設定</x:v>
      </x:c>
      <x:c r="I17"/>
    </x:row>
    <x:row r="18" ht="31" customHeight="1">
      <x:c r="A18" s="35" t="str">
        <x:v>公開・セキュリティ</x:v>
      </x:c>
      <x:c r="B18" s="38" t="n">
        <x:f>COUNTIFS('実装タスク'!$C$5:$C$96,$A18,'実装タスク'!$F$5:$F$96,"完了")</x:f>
        <x:v>1</x:v>
      </x:c>
      <x:c r="C18" s="38" t="n">
        <x:f>COUNTIFS('実装タスク'!$C$5:$C$96,$A18,'実装タスク'!$F$5:$F$96,"進行中")</x:f>
        <x:v>2</x:v>
      </x:c>
      <x:c r="D18" s="38" t="n">
        <x:f>COUNTIFS('実装タスク'!$C$5:$C$96,$A18,'実装タスク'!$F$5:$F$96,"未着手")</x:f>
        <x:v>2</x:v>
      </x:c>
      <x:c r="E18" s="38" t="n">
        <x:f>COUNTIFS('実装タスク'!$C$5:$C$96,$A18,'実装タスク'!$F$5:$F$96,"要確認")</x:f>
        <x:v>1</x:v>
      </x:c>
      <x:c r="F18" s="38" t="n">
        <x:f>SUM(B18:E18)</x:f>
        <x:v>6</x:v>
      </x:c>
      <x:c r="G18" s="39" t="n">
        <x:f>IFERROR(B18/F18,0)</x:f>
        <x:v>0.16666666666666666</x:v>
      </x:c>
      <x:c r="H18" s="43" t="str">
        <x:v>Supabaseへ検証URLを登録→認証・保存・ユーザー分離をオンラインE2E</x:v>
      </x:c>
      <x:c r="I18"/>
    </x:row>
    <x:row r="19" ht="31" customHeight="1">
      <x:c r="A19" s="35" t="str">
        <x:v>テスト・運用・法務</x:v>
      </x:c>
      <x:c r="B19" s="38" t="n">
        <x:f>COUNTIFS('実装タスク'!$C$5:$C$96,$A19,'実装タスク'!$F$5:$F$96,"完了")</x:f>
        <x:v>2</x:v>
      </x:c>
      <x:c r="C19" s="38" t="n">
        <x:f>COUNTIFS('実装タスク'!$C$5:$C$96,$A19,'実装タスク'!$F$5:$F$96,"進行中")</x:f>
        <x:v>4</x:v>
      </x:c>
      <x:c r="D19" s="38" t="n">
        <x:f>COUNTIFS('実装タスク'!$C$5:$C$96,$A19,'実装タスク'!$F$5:$F$96,"未着手")</x:f>
        <x:v>4</x:v>
      </x:c>
      <x:c r="E19" s="38" t="n">
        <x:f>COUNTIFS('実装タスク'!$C$5:$C$96,$A19,'実装タスク'!$F$5:$F$96,"要確認")</x:f>
        <x:v>1</x:v>
      </x:c>
      <x:c r="F19" s="38" t="n">
        <x:f>SUM(B19:E19)</x:f>
        <x:v>11</x:v>
      </x:c>
      <x:c r="G19" s="39" t="n">
        <x:f>IFERROR(B19/F19,0)</x:f>
        <x:v>0.18181818181818182</x:v>
      </x:c>
      <x:c r="H19" s="43" t="str">
        <x:v>認証済みE2E、Claude異常系、年境界テストを追加</x:v>
      </x:c>
      <x:c r="I19"/>
    </x:row>
    <x:row r="20">
      <x:c r="A20"/>
      <x:c r="B20"/>
      <x:c r="C20"/>
      <x:c r="D20"/>
      <x:c r="E20"/>
      <x:c r="F20"/>
      <x:c r="G20"/>
      <x:c r="H20"/>
      <x:c r="I20"/>
    </x:row>
    <x:row r="21">
      <x:c r="A21"/>
      <x:c r="B21"/>
      <x:c r="C21"/>
      <x:c r="D21"/>
      <x:c r="E21"/>
      <x:c r="F21"/>
      <x:c r="G21"/>
      <x:c r="H21"/>
      <x:c r="I21"/>
    </x:row>
    <x:row r="22" ht="30" customHeight="1">
      <x:c r="A22" s="193" t="str">
        <x:v>現在地: STEP 1を5問、STEP 2・3を各3問のセット形式として、出題・入力・Claude一括採点・修正再提出・履歴・重複回避・旧未提出問題の更新まで実装済み。到達済み段階の選択は、別段階に未提出課題があっても許可し、元の段階へ戻ると課題を再開する。次は実アカウントでSTEP 1〜3の一部不正解と全問合格、段階往復を試し、Claude品質・DB保存・実測トークンを確認する。</x:v>
      </x:c>
      <x:c r="B22" s="193" t="str"/>
      <x:c r="C22" s="193" t="str"/>
      <x:c r="D22" s="193" t="str"/>
      <x:c r="E22" s="193" t="str"/>
      <x:c r="F22" s="193" t="str"/>
      <x:c r="G22" s="193" t="str"/>
      <x:c r="H22" s="193" t="str"/>
      <x:c r="I22" s="193" t="str"/>
      <x:c r="J22" s="46"/>
    </x:row>
    <x:row r="23" ht="30" customHeight="1">
      <x:c r="A23" s="195" t="str">
        <x:v>進捗は作業単位の更新履歴で管理します。開発者の日次活動と作業時間は記録しません。学習者向け活動グリッドはアプリ機能として維持します。</x:v>
      </x:c>
      <x:c r="B23" s="195" t="str"/>
      <x:c r="C23" s="195" t="str"/>
      <x:c r="D23" s="195" t="str"/>
      <x:c r="E23" s="195" t="str"/>
      <x:c r="F23" s="195" t="str"/>
      <x:c r="G23" s="195" t="str"/>
      <x:c r="H23" s="195" t="str"/>
      <x:c r="I23" s="195" t="str"/>
      <x:c r="J23" s="106"/>
    </x:row>
    <x:row r="24" ht="22" customHeight="1">
      <x:c r="A24" s="198" t="str">
        <x:v>最終更新日: 2026-09-06　｜　進捗の正本: このファイル</x:v>
      </x:c>
      <x:c r="B24" s="198" t="str"/>
      <x:c r="C24" s="198" t="str"/>
      <x:c r="D24" s="198" t="str"/>
      <x:c r="E24" s="198" t="str"/>
      <x:c r="F24" s="198" t="str"/>
      <x:c r="G24" s="198" t="str"/>
      <x:c r="H24" s="198" t="str"/>
      <x:c r="I24" s="198" t="str"/>
      <x:c r="J24" s="47"/>
    </x:row>
  </x:sheetData>
  <x:mergeCells>
    <x:mergeCell ref="A2:I2"/>
    <x:mergeCell ref="A22:I22"/>
    <x:mergeCell ref="A23:I23"/>
    <x:mergeCell ref="A24:I24"/>
  </x:mergeCells>
  <x:conditionalFormatting sqref="G9:G19">
    <x:cfRule type="dataBar" priority="1">
      <x:dataBar>
        <x:cfvo type="min"/>
        <x:cfvo type="max"/>
        <x:color rgb="FF1F6F78"/>
      </x:dataBar>
      <x:extLst>
        <x:ext xmlns:x14="http://schemas.microsoft.com/office/spreadsheetml/2009/9/main" uri="{B025F937-C7B1-47D3-B67F-A62EFF666E3E}">
          <x14:id>{CF024F42-CE96-9AEC-55AE-BF1F9EB834AD}</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CF024F42-CE96-9AEC-55AE-BF1F9EB834AD}">
            <x14:dataBar gradient="1">
              <x14:cfvo type="min"/>
              <x14:cfvo type="max"/>
              <x14:fillColor rgb="FF1F6F78"/>
            </x14:dataBar>
          </x14:cfRule>
          <xm:sqref>G9:G19</xm:sqref>
        </x14:conditionalFormatting>
      </x14:conditionalFormattings>
    </x:ext>
  </x:extLst>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7" hidden="0" customWidth="1"/>
    <x:col min="3" max="3" width="22" hidden="0" customWidth="1"/>
    <x:col min="4" max="4" width="16" hidden="0" customWidth="1"/>
    <x:col min="5" max="5" width="38" hidden="0" customWidth="1"/>
    <x:col min="6" max="6" width="12" hidden="0" customWidth="1"/>
    <x:col min="7" max="7" width="9" hidden="0" customWidth="1"/>
    <x:col min="8" max="8" width="36" hidden="0" customWidth="1"/>
    <x:col min="9" max="9" width="36" hidden="0" customWidth="1"/>
    <x:col min="10" max="10" width="36" hidden="0" customWidth="1"/>
    <x:col min="11" max="11" width="34" hidden="0" customWidth="1"/>
    <x:col min="12" max="12" width="14" hidden="0" customWidth="1"/>
  </x:cols>
  <x:sheetData>
    <x:row r="1" ht="34" customHeight="1">
      <x:c r="A1" s="49" t="str">
        <x:v>実装タスク一覧</x:v>
      </x:c>
      <x:c r="B1" s="49"/>
      <x:c r="C1" s="49"/>
      <x:c r="D1" s="49"/>
      <x:c r="E1" s="49"/>
      <x:c r="F1" s="49"/>
      <x:c r="G1" s="49"/>
      <x:c r="H1" s="49"/>
      <x:c r="I1" s="49"/>
      <x:c r="J1" s="49"/>
      <x:c r="K1" s="49"/>
      <x:c r="L1" s="49"/>
    </x:row>
    <x:row r="2" ht="30" customHeight="1">
      <x:c r="A2" s="51" t="str">
        <x:v>黄色の列（状態・優先度・現状・次の作業・更新日）を作業のたびに更新し、更新履歴にも1行追加します。</x:v>
      </x:c>
      <x:c r="B2" s="51"/>
      <x:c r="C2" s="51"/>
      <x:c r="D2" s="51"/>
      <x:c r="E2" s="51"/>
      <x:c r="F2" s="51"/>
      <x:c r="G2" s="51"/>
      <x:c r="H2" s="51"/>
      <x:c r="I2" s="51"/>
      <x:c r="J2" s="51"/>
      <x:c r="K2" s="51"/>
      <x:c r="L2" s="51"/>
    </x:row>
    <x:row r="4" ht="30" customHeight="1">
      <x:c r="A4" s="54" t="str">
        <x:v>ID</x:v>
      </x:c>
      <x:c r="B4" s="54" t="str">
        <x:v>完了</x:v>
      </x:c>
      <x:c r="C4" s="54" t="str">
        <x:v>カテゴリ</x:v>
      </x:c>
      <x:c r="D4" s="54" t="str">
        <x:v>作業領域</x:v>
      </x:c>
      <x:c r="E4" s="54" t="str">
        <x:v>タスク</x:v>
      </x:c>
      <x:c r="F4" s="54" t="str">
        <x:v>状態</x:v>
      </x:c>
      <x:c r="G4" s="54" t="str">
        <x:v>優先度</x:v>
      </x:c>
      <x:c r="H4" s="54" t="str">
        <x:v>現状・実績</x:v>
      </x:c>
      <x:c r="I4" s="54" t="str">
        <x:v>次の作業</x:v>
      </x:c>
      <x:c r="J4" s="54" t="str">
        <x:v>完了条件</x:v>
      </x:c>
      <x:c r="K4" s="54" t="str">
        <x:v>関連ファイル／サービス</x:v>
      </x:c>
      <x:c r="L4" s="54" t="str">
        <x:v>最終更新日</x:v>
      </x:c>
    </x:row>
    <x:row r="5" ht="48" customHeight="1">
      <x:c r="A5" s="60" t="str">
        <x:v>ENV-001</x:v>
      </x:c>
      <x:c r="B5" s="69" t="str">
        <x:f>IF(F5="完了","☑","☐")</x:f>
        <x:v>☑</x:v>
      </x:c>
      <x:c r="C5" s="60" t="str">
        <x:v>基盤・開発環境</x:v>
      </x:c>
      <x:c r="D5" s="60" t="str">
        <x:v>Git</x:v>
      </x:c>
      <x:c r="E5" s="75" t="str">
        <x:v>GitHubリポジトリとmainブランチを作成する</x:v>
      </x:c>
      <x:c r="F5" s="81" t="str">
        <x:v>完了</x:v>
      </x:c>
      <x:c r="G5" s="81" t="str">
        <x:v>P0</x:v>
      </x:c>
      <x:c r="H5" s="82" t="str">
        <x:v>初回コミットとHTTPS Pushが完了。mainとorigin/mainが同期済み</x:v>
      </x:c>
      <x:c r="I5" s="82" t="str">
        <x:v>通常のコミット・Push運用を継続</x:v>
      </x:c>
      <x:c r="J5" s="75" t="str">
        <x:v>GitHub上にmainとコミットが存在する</x:v>
      </x:c>
      <x:c r="K5" s="75" t="str">
        <x:v>.git/</x:v>
      </x:c>
      <x:c r="L5" s="87" t="n">
        <x:v>46258</x:v>
      </x:c>
    </x:row>
    <x:row r="6" ht="48" customHeight="1">
      <x:c r="A6" s="62" t="str">
        <x:v>ENV-002</x:v>
      </x:c>
      <x:c r="B6" s="70" t="str">
        <x:f>IF(F6="完了","☑","☐")</x:f>
        <x:v>☑</x:v>
      </x:c>
      <x:c r="C6" s="62" t="str">
        <x:v>基盤・開発環境</x:v>
      </x:c>
      <x:c r="D6" s="62" t="str">
        <x:v>構成</x:v>
      </x:c>
      <x:c r="E6" s="77" t="str">
        <x:v>ワークスペース直下をGit・アプリのルートに統一する</x:v>
      </x:c>
      <x:c r="F6" s="83" t="str">
        <x:v>完了</x:v>
      </x:c>
      <x:c r="G6" s="83" t="str">
        <x:v>P0</x:v>
      </x:c>
      <x:c r="H6" s="84" t="str">
        <x:v>二重Gitと不要な入れ子を解消。essay_training_system直下へ統合済み</x:v>
      </x:c>
      <x:c r="I6" s="84" t="str">
        <x:v>構成を維持する</x:v>
      </x:c>
      <x:c r="J6" s="77" t="str">
        <x:v>ルート直下にweb、supabase、docsがある</x:v>
      </x:c>
      <x:c r="K6" s="77" t="str">
        <x:v>README.md</x:v>
      </x:c>
      <x:c r="L6" s="88" t="n">
        <x:v>46258</x:v>
      </x:c>
    </x:row>
    <x:row r="7" ht="48" customHeight="1">
      <x:c r="A7" s="62" t="str">
        <x:v>ENV-003</x:v>
      </x:c>
      <x:c r="B7" s="70" t="str">
        <x:f>IF(F7="完了","☑","☐")</x:f>
        <x:v>☑</x:v>
      </x:c>
      <x:c r="C7" s="62" t="str">
        <x:v>基盤・開発環境</x:v>
      </x:c>
      <x:c r="D7" s="62" t="str">
        <x:v>安全管理</x:v>
      </x:c>
      <x:c r="E7" s="77" t="str">
        <x:v>生成物・秘密情報を.gitignoreで除外する</x:v>
      </x:c>
      <x:c r="F7" s="83" t="str">
        <x:v>完了</x:v>
      </x:c>
      <x:c r="G7" s="83" t="str">
        <x:v>P0</x:v>
      </x:c>
      <x:c r="H7" s="84" t="str">
        <x:v>Node、SvelteKit、環境変数、Cloudflare、Supabase状態を除外。除外規則を実ファイルで検証済み</x:v>
      </x:c>
      <x:c r="I7" s="84" t="str">
        <x:v>新しいツール導入時に規則を追加</x:v>
      </x:c>
      <x:c r="J7" s="77" t="str">
        <x:v>.env等がGit対象にならない</x:v>
      </x:c>
      <x:c r="K7" s="77" t="str">
        <x:v>.gitignore</x:v>
      </x:c>
      <x:c r="L7" s="88" t="n">
        <x:v>46258</x:v>
      </x:c>
    </x:row>
    <x:row r="8" ht="48" customHeight="1">
      <x:c r="A8" s="62" t="str">
        <x:v>ENV-004</x:v>
      </x:c>
      <x:c r="B8" s="70" t="str">
        <x:f>IF(F8="完了","☑","☐")</x:f>
        <x:v>☐</x:v>
      </x:c>
      <x:c r="C8" s="62" t="str">
        <x:v>基盤・開発環境</x:v>
      </x:c>
      <x:c r="D8" s="62" t="str">
        <x:v>実行環境</x:v>
      </x:c>
      <x:c r="E8" s="77" t="str">
        <x:v>asdfでこのプロジェクトのNode.js 24.19.0を固定する</x:v>
      </x:c>
      <x:c r="F8" s="83" t="str">
        <x:v>進行中</x:v>
      </x:c>
      <x:c r="G8" s="83" t="str">
        <x:v>P0</x:v>
      </x:c>
      <x:c r="H8" s="84" t="str">
        <x:v>ローカルとGitHubで同じNodeを再現。ローカル設定は完了。.tool-versionsは未コミット</x:v>
      </x:c>
      <x:c r="I8" s="84" t="str">
        <x:v>.tool-versionsをコミット・Pushする</x:v>
      </x:c>
      <x:c r="J8" s="77" t="str">
        <x:v>asdf currentで24.19.0、Gitにも設定がある</x:v>
      </x:c>
      <x:c r="K8" s="77" t="str">
        <x:v>.tool-versions</x:v>
      </x:c>
      <x:c r="L8" s="88" t="n">
        <x:v>46258</x:v>
      </x:c>
    </x:row>
    <x:row r="9" ht="48" customHeight="1">
      <x:c r="A9" s="62" t="str">
        <x:v>ENV-005</x:v>
      </x:c>
      <x:c r="B9" s="70" t="str">
        <x:f>IF(F9="完了","☑","☐")</x:f>
        <x:v>☑</x:v>
      </x:c>
      <x:c r="C9" s="62" t="str">
        <x:v>基盤・開発環境</x:v>
      </x:c>
      <x:c r="D9" s="62" t="str">
        <x:v>パッケージ管理</x:v>
      </x:c>
      <x:c r="E9" s="77" t="str">
        <x:v>pnpm 11.19.0と依存関係を再現可能にする</x:v>
      </x:c>
      <x:c r="F9" s="83" t="str">
        <x:v>完了</x:v>
      </x:c>
      <x:c r="G9" s="83" t="str">
        <x:v>P0</x:v>
      </x:c>
      <x:c r="H9" s="84" t="str">
        <x:v>固定版pnpmでfrozen installが成功。Corepack経由で11.19.0、依存関係は最新</x:v>
      </x:c>
      <x:c r="I9" s="84" t="str">
        <x:v>バージョン更新は計画的に行う</x:v>
      </x:c>
      <x:c r="J9" s="77" t="str">
        <x:v>pnpm install --frozen-lockfileが成功</x:v>
      </x:c>
      <x:c r="K9" s="77" t="str">
        <x:v>web/package.json / web/pnpm-lock.yaml</x:v>
      </x:c>
      <x:c r="L9" s="88" t="n">
        <x:v>46258</x:v>
      </x:c>
    </x:row>
    <x:row r="10" ht="48" customHeight="1">
      <x:c r="A10" s="62" t="str">
        <x:v>ENV-006</x:v>
      </x:c>
      <x:c r="B10" s="70" t="str">
        <x:f>IF(F10="完了","☑","☐")</x:f>
        <x:v>☑</x:v>
      </x:c>
      <x:c r="C10" s="62" t="str">
        <x:v>基盤・開発環境</x:v>
      </x:c>
      <x:c r="D10" s="62" t="str">
        <x:v>CI</x:v>
      </x:c>
      <x:c r="E10" s="77" t="str">
        <x:v>GitHub Actionsで型検査と本番ビルドを行う</x:v>
      </x:c>
      <x:c r="F10" s="83" t="str">
        <x:v>完了</x:v>
      </x:c>
      <x:c r="G10" s="83" t="str">
        <x:v>P1</x:v>
      </x:c>
      <x:c r="H10" s="84" t="str">
        <x:v>Push・PR時にcurriculum:build、check、Vitest、buildを自動実行する構成へ更新</x:v>
      </x:c>
      <x:c r="I10" s="84" t="str">
        <x:v>Playwright導入後にE2EもCIへ追加</x:v>
      </x:c>
      <x:c r="J10" s="77" t="str">
        <x:v>Actionsでcheck/buildが成功</x:v>
      </x:c>
      <x:c r="K10" s="77" t="str">
        <x:v>.github/workflows/verify.yml</x:v>
      </x:c>
      <x:c r="L10" s="172" t="n">
        <x:v>46258</x:v>
      </x:c>
    </x:row>
    <x:row r="11" ht="48" customHeight="1">
      <x:c r="A11" s="62" t="str">
        <x:v>ENV-007</x:v>
      </x:c>
      <x:c r="B11" s="70" t="str">
        <x:f>IF(F11="完了","☑","☐")</x:f>
        <x:v>☐</x:v>
      </x:c>
      <x:c r="C11" s="62" t="str">
        <x:v>基盤・開発環境</x:v>
      </x:c>
      <x:c r="D11" s="62" t="str">
        <x:v>品質基盤</x:v>
      </x:c>
      <x:c r="E11" s="77" t="str">
        <x:v>自動テスト用の共通コマンドを整備する</x:v>
      </x:c>
      <x:c r="F11" s="83" t="str">
        <x:v>進行中</x:v>
      </x:c>
      <x:c r="G11" s="83" t="str">
        <x:v>P0</x:v>
      </x:c>
      <x:c r="H11" s="84" t="str">
        <x:v>Vitest、型検査、製品ビルドをverifyへ統合。認証表示と提出後スクロールを含む10ファイル77テストが成功</x:v>
      </x:c>
      <x:c r="I11" s="84" t="str">
        <x:v>Playwrightで認証・主要学習フローのE2Eを追加</x:v>
      </x:c>
      <x:c r="J11" s="77" t="str">
        <x:v>test、test:e2eが実行できる</x:v>
      </x:c>
      <x:c r="K11" s="77" t="str">
        <x:v>web/package.json / web/vite.config.ts / web/src/**/*.test.ts</x:v>
      </x:c>
      <x:c r="L11" s="88" t="n">
        <x:v>46268</x:v>
      </x:c>
    </x:row>
    <x:row r="12" ht="48" customHeight="1">
      <x:c r="A12" s="62" t="str">
        <x:v>APP-001</x:v>
      </x:c>
      <x:c r="B12" s="70" t="str">
        <x:f>IF(F12="完了","☑","☐")</x:f>
        <x:v>☑</x:v>
      </x:c>
      <x:c r="C12" s="62" t="str">
        <x:v>アプリ本体・学習機能</x:v>
      </x:c>
      <x:c r="D12" s="62" t="str">
        <x:v>基盤</x:v>
      </x:c>
      <x:c r="E12" s="77" t="str">
        <x:v>SvelteKit + TypeScriptのアプリを作成する</x:v>
      </x:c>
      <x:c r="F12" s="83" t="str">
        <x:v>完了</x:v>
      </x:c>
      <x:c r="G12" s="83" t="str">
        <x:v>P0</x:v>
      </x:c>
      <x:c r="H12" s="84" t="str">
        <x:v>ローカル起動・型検査・ビルドが成功。SvelteKit雛形を作成済み</x:v>
      </x:c>
      <x:c r="I12" s="84" t="str">
        <x:v>機能単位でルート・コンポーネントを追加</x:v>
      </x:c>
      <x:c r="J12" s="77" t="str">
        <x:v>pnpm run dev/check/buildが成功</x:v>
      </x:c>
      <x:c r="K12" s="77" t="str">
        <x:v>web/</x:v>
      </x:c>
      <x:c r="L12" s="88" t="n">
        <x:v>46258</x:v>
      </x:c>
    </x:row>
    <x:row r="13" ht="48" customHeight="1">
      <x:c r="A13" s="62" t="str">
        <x:v>APP-002</x:v>
      </x:c>
      <x:c r="B13" s="70" t="str">
        <x:f>IF(F13="完了","☑","☐")</x:f>
        <x:v>☑</x:v>
      </x:c>
      <x:c r="C13" s="62" t="str">
        <x:v>アプリ本体・学習機能</x:v>
      </x:c>
      <x:c r="D13" s="62" t="str">
        <x:v>型</x:v>
      </x:c>
      <x:c r="E13" s="77" t="str">
        <x:v>認証・利用権・添削結果の境界型を定義する</x:v>
      </x:c>
      <x:c r="F13" s="83" t="str">
        <x:v>完了</x:v>
      </x:c>
      <x:c r="G13" s="83" t="str">
        <x:v>P1</x:v>
      </x:c>
      <x:c r="H13" s="84" t="str">
        <x:v>外部サービスから学習ロジックを分離。UserSession、AccessState、FeedbackResultを定義済み</x:v>
      </x:c>
      <x:c r="I13" s="84" t="str">
        <x:v>実API実装時に型を検証へ接続</x:v>
      </x:c>
      <x:c r="J13" s="77" t="str">
        <x:v>共通型が機能から参照される</x:v>
      </x:c>
      <x:c r="K13" s="77" t="str">
        <x:v>web/src/lib/types/contracts.ts</x:v>
      </x:c>
      <x:c r="L13" s="88" t="n">
        <x:v>46258</x:v>
      </x:c>
    </x:row>
    <x:row r="14" ht="48" customHeight="1">
      <x:c r="A14" s="62" t="str">
        <x:v>APP-003</x:v>
      </x:c>
      <x:c r="B14" s="70" t="str">
        <x:f>IF(F14="完了","☑","☐")</x:f>
        <x:v>☑</x:v>
      </x:c>
      <x:c r="C14" s="62" t="str">
        <x:v>アプリ本体・学習機能</x:v>
      </x:c>
      <x:c r="D14" s="62" t="str">
        <x:v>画面</x:v>
      </x:c>
      <x:c r="E14" s="77" t="str">
        <x:v>課題入力とモック添削を1画面で確認できるようにする</x:v>
      </x:c>
      <x:c r="F14" s="83" t="str">
        <x:v>完了</x:v>
      </x:c>
      <x:c r="G14" s="83" t="str">
        <x:v>P1</x:v>
      </x:c>
      <x:c r="H14" s="84" t="str">
        <x:v>段階2の指定文を基準に、全13段階のヒントを原則二文・具体例付きの文体へ統一。段階1〜6では解答例と解説をヒント直下に表示。課題選択の内部処理を説明する不要な案内文は課題ページへ表示しない。</x:v>
      </x:c>
      <x:c r="I14" s="84" t="str">
        <x:v>認証済みE2Eで全段階のヒント、解答例・解説、段階7以降の非表示、スマホ幅を確認</x:v>
      </x:c>
      <x:c r="J14" s="77" t="str">
        <x:v>ブラウザで一連の操作が可能</x:v>
      </x:c>
      <x:c r="K14" s="77" t="str">
        <x:v>web/src/routes/tasks/[taskId]/+page.svelte / web/src/app.css</x:v>
      </x:c>
      <x:c r="L14" s="88" t="n">
        <x:v>46268</x:v>
      </x:c>
    </x:row>
    <x:row r="15" ht="48" customHeight="1">
      <x:c r="A15" s="62" t="str">
        <x:v>APP-004</x:v>
      </x:c>
      <x:c r="B15" s="70" t="str">
        <x:f>IF(F15="完了","☑","☐")</x:f>
        <x:v>☑</x:v>
      </x:c>
      <x:c r="C15" s="62" t="str">
        <x:v>アプリ本体・学習機能</x:v>
      </x:c>
      <x:c r="D15" s="62" t="str">
        <x:v>画面構成</x:v>
      </x:c>
      <x:c r="E15" s="77" t="str">
        <x:v>アプリのルートとナビゲーションを設計する</x:v>
      </x:c>
      <x:c r="F15" s="83" t="str">
        <x:v>完了</x:v>
      </x:c>
      <x:c r="G15" s="83" t="str">
        <x:v>P0</x:v>
      </x:c>
      <x:c r="H15" s="84" t="str">
        <x:v>ホーム画面の学習開始導線を「学習を始める」一つに統一。メインナビゲーションの「進捗」を、設定画面も含むことが伝わる「進捗・設定」に変更。</x:v>
      </x:c>
      <x:c r="I15" s="84" t="str">
        <x:v>ホーム画面と「進捗・設定」画面の導線を認証済みE2Eで確認する。</x:v>
      </x:c>
      <x:c r="J15" s="77" t="str">
        <x:v>主要画面へURLで移動できる</x:v>
      </x:c>
      <x:c r="K15" s="77" t="str">
        <x:v>web/src/routes/ / web/src/app.css</x:v>
      </x:c>
      <x:c r="L15" s="88" t="n">
        <x:v>46270</x:v>
      </x:c>
    </x:row>
    <x:row r="16" ht="125" customHeight="1">
      <x:c r="A16" s="77" t="str">
        <x:v>APP-005</x:v>
      </x:c>
      <x:c r="B16" s="231" t="str">
        <x:f>IF(F16="完了","☑","☐")</x:f>
        <x:v>☑</x:v>
      </x:c>
      <x:c r="C16" s="77" t="str">
        <x:v>アプリ本体・学習機能</x:v>
      </x:c>
      <x:c r="D16" s="77" t="str">
        <x:v>課題</x:v>
      </x:c>
      <x:c r="E16" s="77" t="str">
        <x:v>課題一覧・課題詳細を実装する</x:v>
      </x:c>
      <x:c r="F16" s="83" t="str">
        <x:v>完了</x:v>
      </x:c>
      <x:c r="G16" s="83" t="str">
        <x:v>P0</x:v>
      </x:c>
      <x:c r="H16" s="84" t="str">
        <x:v>ホーム・課題トップ・課題詳細・進捗画面の問題文へ共通の改行表示を適用。STEP 2は指示の後に内容①・内容②を段落として表示し、STEP 3〜12も文①・文②、指定文数、作業手順、構成項目などを行ごとに整理。既存の問題履歴も表示版v8として現行レイアウトを復元。Cloudflare Version 40b368b6-efd2-4dbf-8e83-16cca5b3748eへ公開済み。</x:v>
      </x:c>
      <x:c r="I16" s="84" t="str">
        <x:v>Cloudflare公開後、ホーム・課題トップ・課題詳細でSTEP 2の内容①・内容②と、STEP 3以降の複数文・資料付き問題を確認する。</x:v>
      </x:c>
      <x:c r="J16" s="77" t="str">
        <x:v>複数課題を表示・選択できる</x:v>
      </x:c>
      <x:c r="K16" s="77" t="str">
        <x:v>web/src/routes/tasks/ / web/src/lib/data/curriculum.json</x:v>
      </x:c>
      <x:c r="L16" s="232" t="n">
        <x:v>46271</x:v>
      </x:c>
    </x:row>
    <x:row r="17" ht="110" customHeight="1">
      <x:c r="A17" s="77" t="str">
        <x:v>APP-006</x:v>
      </x:c>
      <x:c r="B17" s="231" t="str">
        <x:v>☑</x:v>
      </x:c>
      <x:c r="C17" s="77" t="str">
        <x:v>アプリ本体・学習機能</x:v>
      </x:c>
      <x:c r="D17" s="77" t="str">
        <x:v>下書き</x:v>
      </x:c>
      <x:c r="E17" s="77" t="str">
        <x:v>下書き自動保存と復元を実装する</x:v>
      </x:c>
      <x:c r="F17" s="83" t="str">
        <x:v>完了</x:v>
      </x:c>
      <x:c r="G17" s="83" t="str">
        <x:v>P0</x:v>
      </x:c>
      <x:c r="H17" s="84" t="str">
        <x:v>STEP 1の修正画面で正解済みを保持してロック。不正解だけ修正でき、再読み込み時も提出結果と下書きから復元する。</x:v>
      </x:c>
      <x:c r="I17" s="84" t="str">
        <x:v>公開版の実アカウントでも再読み込みと修正途中の復元を確認する。</x:v>
      </x:c>
      <x:c r="J17" s="77" t="str">
        <x:v>再読込後も下書きが復元される</x:v>
      </x:c>
      <x:c r="K17" s="77" t="str">
        <x:v>web/src/lib/features/learning/learning-service.ts / web/src/lib/features/learning/save-queue.ts / web/src/routes/tasks/</x:v>
      </x:c>
      <x:c r="L17" s="232" t="n">
        <x:v>46270</x:v>
      </x:c>
    </x:row>
    <x:row r="18" ht="150" customHeight="1">
      <x:c r="A18" s="77" t="str">
        <x:v>APP-007</x:v>
      </x:c>
      <x:c r="B18" s="231" t="str">
        <x:v>☐</x:v>
      </x:c>
      <x:c r="C18" s="77" t="str">
        <x:v>アプリ本体・学習機能</x:v>
      </x:c>
      <x:c r="D18" s="77" t="str">
        <x:v>提出</x:v>
      </x:c>
      <x:c r="E18" s="77" t="str">
        <x:v>正式提出・添削結果・書き直しを実装する</x:v>
      </x:c>
      <x:c r="F18" s="83" t="str">
        <x:v>要確認</x:v>
      </x:c>
      <x:c r="G18" s="83" t="str">
        <x:v>P0</x:v>
      </x:c>
      <x:c r="H18" s="84" t="str">
        <x:v>STEP 1を5問、STEP 2・3を各3問のセット提出へ統一。到達済み段階の選択時、別段階に未提出課題があっても移動できるようにし、未提出課題は削除せず該当段階へ戻ったときに再開する。</x:v>
      </x:c>
      <x:c r="I18" s="84" t="str">
        <x:v>利用者画面でSTEP 1（Haiku）、STEP 2・3（Sonnet）の合格・一部不正解・修正再提出に加え、未提出課題を残した段階往復を確認する。</x:v>
      </x:c>
      <x:c r="J18" s="77" t="str">
        <x:v>提出状態と結果が永続化される</x:v>
      </x:c>
      <x:c r="K18" s="77" t="str">
        <x:v>web/src/routes/tasks/[taskId]/ / web/src/lib/features/learning/progression.ts</x:v>
      </x:c>
      <x:c r="L18" s="232" t="n">
        <x:v>46271</x:v>
      </x:c>
    </x:row>
    <x:row r="19" ht="150" customHeight="1">
      <x:c r="A19" s="77" t="str">
        <x:v>APP-008</x:v>
      </x:c>
      <x:c r="B19" s="231" t="str">
        <x:v>☐</x:v>
      </x:c>
      <x:c r="C19" s="77" t="str">
        <x:v>アプリ本体・学習機能</x:v>
      </x:c>
      <x:c r="D19" s="77" t="str">
        <x:v>履歴・進捗</x:v>
      </x:c>
      <x:c r="E19" s="77" t="str">
        <x:v>提出履歴と学習進捗を表示する</x:v>
      </x:c>
      <x:c r="F19" s="83" t="str">
        <x:v>進行中</x:v>
      </x:c>
      <x:c r="G19" s="83" t="str">
        <x:v>P1</x:v>
      </x:c>
      <x:c r="H19" s="84" t="str">
        <x:v>提出履歴でSTEP 1〜3の全問題について、指示・問題文・解答・正誤・解説を対応表示。到達済み段階へ戻っても、各段階の未提出課題と提出履歴を保持する。</x:v>
      </x:c>
      <x:c r="I19" s="84" t="str">
        <x:v>認証済みE2Eで3問セットの履歴と、修正後も正解済み答案が保持されること、段階往復後に未提出課題を再開できることを確認する。</x:v>
      </x:c>
      <x:c r="J19" s="77" t="str">
        <x:v>ユーザー自身の履歴だけが表示される</x:v>
      </x:c>
      <x:c r="K19" s="77" t="str">
        <x:v>web/src/routes/ / web/src/lib/features/learning/learning-service.ts</x:v>
      </x:c>
      <x:c r="L19" s="232" t="n">
        <x:v>46271</x:v>
      </x:c>
    </x:row>
    <x:row r="20" ht="48" customHeight="1">
      <x:c r="A20" s="62" t="str">
        <x:v>APP-009</x:v>
      </x:c>
      <x:c r="B20" s="70" t="str">
        <x:f>IF(F20="完了","☑","☐")</x:f>
        <x:v>☐</x:v>
      </x:c>
      <x:c r="C20" s="62" t="str">
        <x:v>アプリ本体・学習機能</x:v>
      </x:c>
      <x:c r="D20" s="62" t="str">
        <x:v>PWA</x:v>
      </x:c>
      <x:c r="E20" s="77" t="str">
        <x:v>manifest、アイコン、インストール対応を追加する</x:v>
      </x:c>
      <x:c r="F20" s="83" t="str">
        <x:v>進行中</x:v>
      </x:c>
      <x:c r="G20" s="83" t="str">
        <x:v>P2</x:v>
      </x:c>
      <x:c r="H20" s="84" t="str">
        <x:v>manifest、SVGアイコン、service workerを追加し、本番ビルドにservice-worker.jsが生成</x:v>
      </x:c>
      <x:c r="I20" s="84" t="str">
        <x:v>Cloudflareアダプター設定後に実端末でインストール確認</x:v>
      </x:c>
      <x:c r="J20" s="77" t="str">
        <x:v>インストール判定とアイコン表示が成功</x:v>
      </x:c>
      <x:c r="K20" s="77" t="str">
        <x:v>web/static/manifest.webmanifest / web/src/service-worker.ts</x:v>
      </x:c>
      <x:c r="L20" s="88" t="n">
        <x:v>46258</x:v>
      </x:c>
    </x:row>
    <x:row r="21" ht="48" customHeight="1">
      <x:c r="A21" s="62" t="str">
        <x:v>CUR-001</x:v>
      </x:c>
      <x:c r="B21" s="70" t="str">
        <x:f>IF(F21="完了","☑","☐")</x:f>
        <x:v>☑</x:v>
      </x:c>
      <x:c r="C21" s="62" t="str">
        <x:v>カリキュラム</x:v>
      </x:c>
      <x:c r="D21" s="62" t="str">
        <x:v>原本</x:v>
      </x:c>
      <x:c r="E21" s="77" t="str">
        <x:v>カリキュラムExcelを正本として配置する</x:v>
      </x:c>
      <x:c r="F21" s="83" t="str">
        <x:v>完了</x:v>
      </x:c>
      <x:c r="G21" s="83" t="str">
        <x:v>P0</x:v>
      </x:c>
      <x:c r="H21" s="84" t="str">
        <x:v>Git管理下に原本Excelがある。curriculum-designへ配置済み</x:v>
      </x:c>
      <x:c r="I21" s="84" t="str">
        <x:v>変更時は変換結果も更新</x:v>
      </x:c>
      <x:c r="J21" s="77" t="str">
        <x:v>Excelがリポジトリ内に存在する</x:v>
      </x:c>
      <x:c r="K21" s="77" t="str">
        <x:v>curriculum-design/小論文添削サービス_カリキュラム設計.xlsx</x:v>
      </x:c>
      <x:c r="L21" s="88" t="n">
        <x:v>46258</x:v>
      </x:c>
    </x:row>
    <x:row r="22" ht="48" customHeight="1">
      <x:c r="A22" s="62" t="str">
        <x:v>CUR-002</x:v>
      </x:c>
      <x:c r="B22" s="70" t="str">
        <x:f>IF(F22="完了","☑","☐")</x:f>
        <x:v>☑</x:v>
      </x:c>
      <x:c r="C22" s="62" t="str">
        <x:v>カリキュラム</x:v>
      </x:c>
      <x:c r="D22" s="62" t="str">
        <x:v>データ確認</x:v>
      </x:c>
      <x:c r="E22" s="77" t="str">
        <x:v>段階13の重複評価項目を確認・整理する</x:v>
      </x:c>
      <x:c r="F22" s="83" t="str">
        <x:v>完了</x:v>
      </x:c>
      <x:c r="G22" s="83" t="str">
        <x:v>P0</x:v>
      </x:c>
      <x:c r="H22" s="84" t="str">
        <x:v>段階13とAI指示設計の完全一致重複を3件ずつ確認。変換時に完全一致だけ除外する方針を設計正本へ記録</x:v>
      </x:c>
      <x:c r="I22" s="84" t="str">
        <x:v>次回の教育内容編集時に原本側の重複行も削除</x:v>
      </x:c>
      <x:c r="J22" s="77" t="str">
        <x:v>重複が解消または意図が記録される</x:v>
      </x:c>
      <x:c r="K22" s="77" t="str">
        <x:v>curriculum-design/小論文添削サービス_カリキュラム設計.xlsx / docs/architecture.md</x:v>
      </x:c>
      <x:c r="L22" s="88" t="n">
        <x:v>46258</x:v>
      </x:c>
    </x:row>
    <x:row r="23" ht="48" customHeight="1">
      <x:c r="A23" s="62" t="str">
        <x:v>CUR-003</x:v>
      </x:c>
      <x:c r="B23" s="70" t="str">
        <x:f>IF(F23="完了","☑","☐")</x:f>
        <x:v>☑</x:v>
      </x:c>
      <x:c r="C23" s="62" t="str">
        <x:v>カリキュラム</x:v>
      </x:c>
      <x:c r="D23" s="62" t="str">
        <x:v>変換</x:v>
      </x:c>
      <x:c r="E23" s="77" t="str">
        <x:v>ExcelからJSONへ変換するTypeScript処理を作る</x:v>
      </x:c>
      <x:c r="F23" s="83" t="str">
        <x:v>完了</x:v>
      </x:c>
      <x:c r="G23" s="83" t="str">
        <x:v>P0</x:v>
      </x:c>
      <x:c r="H23" s="84" t="str">
        <x:v>Excelを正規化して段階・ルーブリック・日本語チェックを決定的JSONへ変換するTypeScript処理を実装</x:v>
      </x:c>
      <x:c r="I23" s="84" t="str">
        <x:v>原本変更時はpnpm curriculum:buildを実行</x:v>
      </x:c>
      <x:c r="J23" s="77" t="str">
        <x:v>変換コマンドが正常終了する</x:v>
      </x:c>
      <x:c r="K23" s="77" t="str">
        <x:v>web/scripts/convert-curriculum.ts</x:v>
      </x:c>
      <x:c r="L23" s="88" t="n">
        <x:v>46258</x:v>
      </x:c>
    </x:row>
    <x:row r="24" ht="48" customHeight="1">
      <x:c r="A24" s="62" t="str">
        <x:v>CUR-004</x:v>
      </x:c>
      <x:c r="B24" s="70" t="str">
        <x:f>IF(F24="完了","☑","☐")</x:f>
        <x:v>☑</x:v>
      </x:c>
      <x:c r="C24" s="62" t="str">
        <x:v>カリキュラム</x:v>
      </x:c>
      <x:c r="D24" s="62" t="str">
        <x:v>検証</x:v>
      </x:c>
      <x:c r="E24" s="77" t="str">
        <x:v>生成JSONのスキーマと検証処理を作る</x:v>
      </x:c>
      <x:c r="F24" s="83" t="str">
        <x:v>完了</x:v>
      </x:c>
      <x:c r="G24" s="83" t="str">
        <x:v>P0</x:v>
      </x:c>
      <x:c r="H24" s="84" t="str">
        <x:v>段階0〜13、必須項目、重複識別子を検証し、不正データを拒否する処理とVitestを追加</x:v>
      </x:c>
      <x:c r="I24" s="84" t="str">
        <x:v>カリキュラム項目追加時に検証規則も更新</x:v>
      </x:c>
      <x:c r="J24" s="77" t="str">
        <x:v>不正な入力でテストが失敗する</x:v>
      </x:c>
      <x:c r="K24" s="77" t="str">
        <x:v>web/src/lib/data/curriculum.ts / web/src/lib/data/curriculum.test.ts</x:v>
      </x:c>
      <x:c r="L24" s="88" t="n">
        <x:v>46258</x:v>
      </x:c>
    </x:row>
    <x:row r="25" ht="48" customHeight="1">
      <x:c r="A25" s="62" t="str">
        <x:v>CUR-005</x:v>
      </x:c>
      <x:c r="B25" s="70" t="str">
        <x:f>IF(F25="完了","☑","☐")</x:f>
        <x:v>☑</x:v>
      </x:c>
      <x:c r="C25" s="62" t="str">
        <x:v>カリキュラム</x:v>
      </x:c>
      <x:c r="D25" s="62" t="str">
        <x:v>生成物</x:v>
      </x:c>
      <x:c r="E25" s="77" t="str">
        <x:v>アプリ用カリキュラムJSONを生成する</x:v>
      </x:c>
      <x:c r="F25" s="83" t="str">
        <x:v>完了</x:v>
      </x:c>
      <x:c r="G25" s="83" t="str">
        <x:v>P0</x:v>
      </x:c>
      <x:c r="H25" s="84" t="str">
        <x:v>段階1〜13の各10問、合計130問をcurriculum.jsonへ生成。ID・段階・話題重複を検証</x:v>
      </x:c>
      <x:c r="I25" s="84" t="str">
        <x:v>練習テーマ追加時にpractice-bankと検証テストを同時更新</x:v>
      </x:c>
      <x:c r="J25" s="77" t="str">
        <x:v>生成結果が検証を通る</x:v>
      </x:c>
      <x:c r="K25" s="77" t="str">
        <x:v>web/scripts/practice-bank.ts / web/src/lib/data/curriculum.json</x:v>
      </x:c>
      <x:c r="L25" s="88" t="n">
        <x:v>46259</x:v>
      </x:c>
    </x:row>
    <x:row r="26" ht="48" customHeight="1">
      <x:c r="A26" s="62" t="str">
        <x:v>CUR-006</x:v>
      </x:c>
      <x:c r="B26" s="70" t="str">
        <x:f>IF(F26="完了","☑","☐")</x:f>
        <x:v>☑</x:v>
      </x:c>
      <x:c r="C26" s="62" t="str">
        <x:v>カリキュラム</x:v>
      </x:c>
      <x:c r="D26" s="62" t="str">
        <x:v>画面連携</x:v>
      </x:c>
      <x:c r="E26" s="77" t="str">
        <x:v>カリキュラムJSONを課題画面へ接続する</x:v>
      </x:c>
      <x:c r="F26" s="83" t="str">
        <x:v>完了</x:v>
      </x:c>
      <x:c r="G26" s="83" t="str">
        <x:v>P0</x:v>
      </x:c>
      <x:c r="H26" s="84" t="str">
        <x:v>130問を現在段階の1問ずつへ接続し、全問使用後も直前と同じ問題を避ける</x:v>
      </x:c>
      <x:c r="I26" s="84" t="str">
        <x:v>本番問題追加時に話題キーと教育内容をレビュー</x:v>
      </x:c>
      <x:c r="J26" s="77" t="str">
        <x:v>Excel由来の課題が画面に出る</x:v>
      </x:c>
      <x:c r="K26" s="77" t="str">
        <x:v>web/src/lib/data/curriculum.ts / web/src/lib/features/learning/progression.ts / web/src/routes/tasks/</x:v>
      </x:c>
      <x:c r="L26" s="88" t="n">
        <x:v>46259</x:v>
      </x:c>
    </x:row>
    <x:row r="27" ht="48" customHeight="1">
      <x:c r="A27" s="62" t="str">
        <x:v>AUTH-001</x:v>
      </x:c>
      <x:c r="B27" s="70" t="str">
        <x:v>☑</x:v>
      </x:c>
      <x:c r="C27" s="62" t="str">
        <x:v>認証・アカウント</x:v>
      </x:c>
      <x:c r="D27" s="62" t="str">
        <x:v>仕様</x:v>
      </x:c>
      <x:c r="E27" s="77" t="str">
        <x:v>メール認証方式を確定する</x:v>
      </x:c>
      <x:c r="F27" s="83" t="str">
        <x:v>完了</x:v>
      </x:c>
      <x:c r="G27" s="83" t="str">
        <x:v>P0</x:v>
      </x:c>
      <x:c r="H27" s="84" t="str">
        <x:v>メール＋パスワード認証を採用。確認メール・再設定メールの導線も設計書へ記録</x:v>
      </x:c>
      <x:c r="I27" s="84" t="str">
        <x:v>Supabase DashboardでEmailとURL allow-listを設定し、実メールで確認</x:v>
      </x:c>
      <x:c r="J27" s="77" t="str">
        <x:v>認証導線が設計書に記録される</x:v>
      </x:c>
      <x:c r="K27" s="77" t="str">
        <x:v>docs/architecture.md / docs/supabase-local-setup.md</x:v>
      </x:c>
      <x:c r="L27" s="88" t="n">
        <x:v>46258</x:v>
      </x:c>
    </x:row>
    <x:row r="28" ht="48" customHeight="1">
      <x:c r="A28" s="62" t="str">
        <x:v>AUTH-002</x:v>
      </x:c>
      <x:c r="B28" s="70" t="str">
        <x:v>☑</x:v>
      </x:c>
      <x:c r="C28" s="62" t="str">
        <x:v>認証・アカウント</x:v>
      </x:c>
      <x:c r="D28" s="62" t="str">
        <x:v>Supabase</x:v>
      </x:c>
      <x:c r="E28" s="77" t="str">
        <x:v>開発用Supabaseプロジェクトを作成する</x:v>
      </x:c>
      <x:c r="F28" s="83" t="str">
        <x:v>完了</x:v>
      </x:c>
      <x:c r="G28" s="83" t="str">
        <x:v>P0</x:v>
      </x:c>
      <x:c r="H28" s="84" t="str">
        <x:v>開発用Supabaseプロジェクトを作成し、Project URLとPublishable keyを取得済み</x:v>
      </x:c>
      <x:c r="I28" s="84" t="str">
        <x:v>web/.env.localへ接続情報を設定して、開発サーバーを再起動</x:v>
      </x:c>
      <x:c r="J28" s="77" t="str">
        <x:v>ローカルから接続確認できる</x:v>
      </x:c>
      <x:c r="K28" s="77" t="str">
        <x:v>Supabase Dashboard / web/.env.local</x:v>
      </x:c>
      <x:c r="L28" s="88" t="n">
        <x:v>46258</x:v>
      </x:c>
    </x:row>
    <x:row r="29" ht="48" customHeight="1">
      <x:c r="A29" s="62" t="str">
        <x:v>AUTH-003</x:v>
      </x:c>
      <x:c r="B29" s="70" t="str">
        <x:v>☑</x:v>
      </x:c>
      <x:c r="C29" s="62" t="str">
        <x:v>認証・アカウント</x:v>
      </x:c>
      <x:c r="D29" s="62" t="str">
        <x:v>クライアント</x:v>
      </x:c>
      <x:c r="E29" s="77" t="str">
        <x:v>SvelteKitへSupabaseクライアントを接続する</x:v>
      </x:c>
      <x:c r="F29" s="83" t="str">
        <x:v>完了</x:v>
      </x:c>
      <x:c r="G29" s="83" t="str">
        <x:v>P0</x:v>
      </x:c>
      <x:c r="H29" s="84" t="str">
        <x:v>Supabaseクライアントを公開環境変数とDatabase型で初期化し、境界の型安全性を向上</x:v>
      </x:c>
      <x:c r="I29" s="84" t="str">
        <x:v>実接続後にセッション取得と型どおりの読書きを確認</x:v>
      </x:c>
      <x:c r="J29" s="77" t="str">
        <x:v>セッション取得が成功する</x:v>
      </x:c>
      <x:c r="K29" s="77" t="str">
        <x:v>web/src/lib/services/supabase.ts / web/src/lib/types/database.ts</x:v>
      </x:c>
      <x:c r="L29" s="88" t="n">
        <x:v>46259</x:v>
      </x:c>
    </x:row>
    <x:row r="30" ht="48" customHeight="1">
      <x:c r="A30" s="62" t="str">
        <x:v>AUTH-004</x:v>
      </x:c>
      <x:c r="B30" s="70" t="str">
        <x:v>☑</x:v>
      </x:c>
      <x:c r="C30" s="62" t="str">
        <x:v>認証・アカウント</x:v>
      </x:c>
      <x:c r="D30" s="62" t="str">
        <x:v>画面</x:v>
      </x:c>
      <x:c r="E30" s="77" t="str">
        <x:v>ログイン・ログアウト・認証完了画面を作る</x:v>
      </x:c>
      <x:c r="F30" s="83" t="str">
        <x:v>完了</x:v>
      </x:c>
      <x:c r="G30" s="83" t="str">
        <x:v>P0</x:v>
      </x:c>
      <x:c r="H30" s="84" t="str">
        <x:v>検証環境で新規登録・確認メール・ログイン・ログアウト・再ログイン・パスワード再設定を実ユーザーで確認済み</x:v>
      </x:c>
      <x:c r="I30" s="84" t="str">
        <x:v>認証画面変更時にオンライン回帰確認を行う</x:v>
      </x:c>
      <x:c r="J30" s="77" t="str">
        <x:v>認証済みセッションを取得できる</x:v>
      </x:c>
      <x:c r="K30" s="77" t="str">
        <x:v>web/src/routes/login/ / web/src/lib/features/auth/AuthPanel.svelte / web/src/routes/account/</x:v>
      </x:c>
      <x:c r="L30" s="88" t="n">
        <x:v>46269</x:v>
      </x:c>
    </x:row>
    <x:row r="31" ht="48" customHeight="1">
      <x:c r="A31" s="62" t="str">
        <x:v>AUTH-005</x:v>
      </x:c>
      <x:c r="B31" s="70" t="str">
        <x:v>☑</x:v>
      </x:c>
      <x:c r="C31" s="62" t="str">
        <x:v>認証・アカウント</x:v>
      </x:c>
      <x:c r="D31" s="62" t="str">
        <x:v>制御</x:v>
      </x:c>
      <x:c r="E31" s="77" t="str">
        <x:v>未認証ユーザーのルート保護を実装する</x:v>
      </x:c>
      <x:c r="F31" s="83" t="str">
        <x:v>完了</x:v>
      </x:c>
      <x:c r="G31" s="83" t="str">
        <x:v>P0</x:v>
      </x:c>
      <x:c r="H31" s="84" t="str">
        <x:v>Supabase接続済み環境では、未ログインまたは認証エラー時に/loginへ自動案内する。ログイン済みで/loginを開いた場合はホームへ戻し、再設定時は/accountへ案内する</x:v>
      </x:c>
      <x:c r="I31" s="84" t="str">
        <x:v>認証フロー変更時にルート制御の単体テストとオンラインE2Eを回帰確認</x:v>
      </x:c>
      <x:c r="J31" s="77" t="str">
        <x:v>未認証アクセスがログイン画面へ移動し、ログイン後はホームへ進む</x:v>
      </x:c>
      <x:c r="K31" s="77" t="str">
        <x:v>web/src/routes/+layout.svelte / web/src/lib/features/auth/auth-routing.ts</x:v>
      </x:c>
      <x:c r="L31" s="88" t="n">
        <x:v>46268</x:v>
      </x:c>
    </x:row>
    <x:row r="32" ht="48" customHeight="1">
      <x:c r="A32" s="62" t="str">
        <x:v>AUTH-006</x:v>
      </x:c>
      <x:c r="B32" s="70" t="str">
        <x:f>IF(F32="完了","☑","☐")</x:f>
        <x:v>☐</x:v>
      </x:c>
      <x:c r="C32" s="62" t="str">
        <x:v>認証・アカウント</x:v>
      </x:c>
      <x:c r="D32" s="62" t="str">
        <x:v>プロフィール</x:v>
      </x:c>
      <x:c r="E32" s="77" t="str">
        <x:v>プロフィールとアカウント設定を実装する</x:v>
      </x:c>
      <x:c r="F32" s="83" t="str">
        <x:v>未着手</x:v>
      </x:c>
      <x:c r="G32" s="83" t="str">
        <x:v>P1</x:v>
      </x:c>
      <x:c r="H32" s="84" t="str">
        <x:v>表示名・退会要求等を扱える。DBテーブル初稿のみ</x:v>
      </x:c>
      <x:c r="I32" s="84" t="str">
        <x:v>画面と安全な更新APIを作る</x:v>
      </x:c>
      <x:c r="J32" s="77" t="str">
        <x:v>許可項目だけ更新できる</x:v>
      </x:c>
      <x:c r="K32" s="77" t="str">
        <x:v>web/src/lib/features/auth/</x:v>
      </x:c>
      <x:c r="L32" s="88" t="n">
        <x:v>46258</x:v>
      </x:c>
    </x:row>
    <x:row r="33" ht="48" customHeight="1">
      <x:c r="A33" s="62" t="str">
        <x:v>AUTH-007</x:v>
      </x:c>
      <x:c r="B33" s="70" t="str">
        <x:v>☑</x:v>
      </x:c>
      <x:c r="C33" s="62" t="str">
        <x:v>認証・アカウント</x:v>
      </x:c>
      <x:c r="D33" s="62" t="str">
        <x:v>権限</x:v>
      </x:c>
      <x:c r="E33" s="77" t="str">
        <x:v>学習者がadminロールへ変更できないようにする</x:v>
      </x:c>
      <x:c r="F33" s="83" t="str">
        <x:v>完了</x:v>
      </x:c>
      <x:c r="G33" s="83" t="str">
        <x:v>P0</x:v>
      </x:c>
      <x:c r="H33" s="84" t="str">
        <x:v>Supabase実DBで学習者のrole列更新を拒否し、管理者ポリシーだけを許可するRLSテストが成功</x:v>
      </x:c>
      <x:c r="I33" s="84" t="str">
        <x:v>管理者機能実装時にも同じ権限昇格テストを継続</x:v>
      </x:c>
      <x:c r="J33" s="77" t="str">
        <x:v>権限昇格テストが失敗する</x:v>
      </x:c>
      <x:c r="K33" s="77" t="str">
        <x:v>supabase/migrations/202608210001_initial_schema.sql / supabase/tests/learner_data_rls.sql</x:v>
      </x:c>
      <x:c r="L33" s="88" t="n">
        <x:v>46260</x:v>
      </x:c>
    </x:row>
    <x:row r="34" ht="48" customHeight="1">
      <x:c r="A34" s="62" t="str">
        <x:v>DB-001</x:v>
      </x:c>
      <x:c r="B34" s="70" t="str">
        <x:v>☑</x:v>
      </x:c>
      <x:c r="C34" s="62" t="str">
        <x:v>DB・権限</x:v>
      </x:c>
      <x:c r="D34" s="62" t="str">
        <x:v>スキーマ</x:v>
      </x:c>
      <x:c r="E34" s="77" t="str">
        <x:v>主要テーブルの初期スキーマを定義する</x:v>
      </x:c>
      <x:c r="F34" s="83" t="str">
        <x:v>完了</x:v>
      </x:c>
      <x:c r="G34" s="83" t="str">
        <x:v>P0</x:v>
      </x:c>
      <x:c r="H34" s="84" t="str">
        <x:v>最終設計の17テーブル、制約、3 RPC、明示的Data API権限をmigrationとして適用・検証済み</x:v>
      </x:c>
      <x:c r="I34" s="84" t="str">
        <x:v>今後のDB変更も新しいmigrationとして追加する</x:v>
      </x:c>
      <x:c r="J34" s="77" t="str">
        <x:v>最終設計の全テーブル・制約・RLS・RPCを含む初期マイグレーションが検証済み</x:v>
      </x:c>
      <x:c r="K34" s="77" t="str">
        <x:v>supabase/migrations/202608210001_initial_schema.sql / docs/architecture.md</x:v>
      </x:c>
      <x:c r="L34" s="88" t="n">
        <x:v>46260</x:v>
      </x:c>
    </x:row>
    <x:row r="35" ht="48" customHeight="1">
      <x:c r="A35" s="62" t="str">
        <x:v>DB-002</x:v>
      </x:c>
      <x:c r="B35" s="70" t="str">
        <x:v>☑</x:v>
      </x:c>
      <x:c r="C35" s="62" t="str">
        <x:v>DB・権限</x:v>
      </x:c>
      <x:c r="D35" s="62" t="str">
        <x:v>RLS</x:v>
      </x:c>
      <x:c r="E35" s="77" t="str">
        <x:v>各テーブルのRLS初稿を定義する</x:v>
      </x:c>
      <x:c r="F35" s="83" t="str">
        <x:v>完了</x:v>
      </x:c>
      <x:c r="G35" s="83" t="str">
        <x:v>P0</x:v>
      </x:c>
      <x:c r="H35" s="84" t="str">
        <x:v>全17テーブルでRLS有効。本人・別ユーザー・匿名・管理者・権限昇格拒否を実DBで検証済み</x:v>
      </x:c>
      <x:c r="I35" s="84" t="str">
        <x:v>実ユーザーE2Eでも画面経由の分離を確認する</x:v>
      </x:c>
      <x:c r="J35" s="77" t="str">
        <x:v>全ポリシーが権限テストを通る</x:v>
      </x:c>
      <x:c r="K35" s="77" t="str">
        <x:v>supabase/migrations/202608210001_initial_schema.sql / supabase/tests/learner_data_rls.sql</x:v>
      </x:c>
      <x:c r="L35" s="88" t="n">
        <x:v>46260</x:v>
      </x:c>
    </x:row>
    <x:row r="36" ht="110" customHeight="1">
      <x:c r="A36" s="77" t="str">
        <x:v>DB-003</x:v>
      </x:c>
      <x:c r="B36" s="231" t="str">
        <x:v>☑</x:v>
      </x:c>
      <x:c r="C36" s="77" t="str">
        <x:v>DB・権限</x:v>
      </x:c>
      <x:c r="D36" s="77" t="str">
        <x:v>マイグレーション</x:v>
      </x:c>
      <x:c r="E36" s="77" t="str">
        <x:v>開発用Supabaseへスキーマを適用する</x:v>
      </x:c>
      <x:c r="F36" s="83" t="str">
        <x:v>完了</x:v>
      </x:c>
      <x:c r="G36" s="83" t="str">
        <x:v>P0</x:v>
      </x:c>
      <x:c r="H36" s="84" t="str">
        <x:v>migration 202609050002を適用。STEP 1の不正解セットを閉じる特例を廃止。冪等性と進級テストの一回解答を維持。</x:v>
      </x:c>
      <x:c r="I36" s="84" t="str">
        <x:v>既存の完了済み不合格セットは自動で再開しない。新規提出から仕様を適用する。</x:v>
      </x:c>
      <x:c r="J36" s="77" t="str">
        <x:v>空の開発DBへ適用成功</x:v>
      </x:c>
      <x:c r="K36" s="77" t="str">
        <x:v>supabase/migrations/202608210001_initial_schema.sql / docs/supabase-local-setup.md</x:v>
      </x:c>
      <x:c r="L36" s="232" t="n">
        <x:v>46270</x:v>
      </x:c>
    </x:row>
    <x:row r="37" ht="110" customHeight="1">
      <x:c r="A37" s="77" t="str">
        <x:v>DB-004</x:v>
      </x:c>
      <x:c r="B37" s="231" t="str">
        <x:v>☑</x:v>
      </x:c>
      <x:c r="C37" s="77" t="str">
        <x:v>DB・権限</x:v>
      </x:c>
      <x:c r="D37" s="77" t="str">
        <x:v>テスト</x:v>
      </x:c>
      <x:c r="E37" s="77" t="str">
        <x:v>学習者・管理者・未認証のRLSテストを作る</x:v>
      </x:c>
      <x:c r="F37" s="83" t="str">
        <x:v>完了</x:v>
      </x:c>
      <x:c r="G37" s="83" t="str">
        <x:v>P0</x:v>
      </x:c>
      <x:c r="H37" s="84" t="str">
        <x:v>実DBで不正解→同じセットへ再提出→合格の回帰テスト成功。冪等性・進級テスト・ユーザー分離も成功。テストデータはロールバック。</x:v>
      </x:c>
      <x:c r="I37" s="84" t="str">
        <x:v>Claude接続後も同じ回帰テストを継続する。</x:v>
      </x:c>
      <x:c r="J37" s="77" t="str">
        <x:v>許可・拒否ケースが全て成功</x:v>
      </x:c>
      <x:c r="K37" s="77" t="str">
        <x:v>supabase/tests/learner_data_rls.sql</x:v>
      </x:c>
      <x:c r="L37" s="232" t="n">
        <x:v>46270</x:v>
      </x:c>
    </x:row>
    <x:row r="38" ht="110" customHeight="1">
      <x:c r="A38" s="77" t="str">
        <x:v>DB-005</x:v>
      </x:c>
      <x:c r="B38" s="231" t="str">
        <x:v>☑</x:v>
      </x:c>
      <x:c r="C38" s="77" t="str">
        <x:v>DB・権限</x:v>
      </x:c>
      <x:c r="D38" s="77" t="str">
        <x:v>保存</x:v>
      </x:c>
      <x:c r="E38" s="77" t="str">
        <x:v>下書き・提出・添削・進捗をDBへ保存する</x:v>
      </x:c>
      <x:c r="F38" s="83" t="str">
        <x:v>完了</x:v>
      </x:c>
      <x:c r="G38" s="83" t="str">
        <x:v>P0</x:v>
      </x:c>
      <x:c r="H38" s="84" t="str">
        <x:v>適用後の整合性11項目はすべて不整合0件。既存データを削除せず更新。</x:v>
      </x:c>
      <x:c r="I38" s="84" t="str">
        <x:v>問題生成・添削の接続後も監査を実行する。</x:v>
      </x:c>
      <x:c r="J38" s="77" t="str">
        <x:v>再読込後もデータが維持される</x:v>
      </x:c>
      <x:c r="K38" s="77" t="str">
        <x:v>supabase/migrations/202608210001_initial_schema.sql / web/src/lib/features/learning/learning-service.ts</x:v>
      </x:c>
      <x:c r="L38" s="232" t="n">
        <x:v>46270</x:v>
      </x:c>
    </x:row>
    <x:row r="39" ht="48" customHeight="1">
      <x:c r="A39" s="62" t="str">
        <x:v>DB-006</x:v>
      </x:c>
      <x:c r="B39" s="70" t="str">
        <x:f>IF(F39="完了","☑","☐")</x:f>
        <x:v>☐</x:v>
      </x:c>
      <x:c r="C39" s="62" t="str">
        <x:v>DB・権限</x:v>
      </x:c>
      <x:c r="D39" s="62" t="str">
        <x:v>データ運用</x:v>
      </x:c>
      <x:c r="E39" s="77" t="str">
        <x:v>保持期間・削除・バックアップ方針を実装する</x:v>
      </x:c>
      <x:c r="F39" s="83" t="str">
        <x:v>未着手</x:v>
      </x:c>
      <x:c r="G39" s="83" t="str">
        <x:v>P1</x:v>
      </x:c>
      <x:c r="H39" s="84" t="str">
        <x:v>退会・削除要求と復旧手順を扱える。方針未確定</x:v>
      </x:c>
      <x:c r="I39" s="84" t="str">
        <x:v>法務方針と合わせて設計</x:v>
      </x:c>
      <x:c r="J39" s="77" t="str">
        <x:v>手順と定期確認が文書化される</x:v>
      </x:c>
      <x:c r="K39" s="77" t="str">
        <x:v>docs/</x:v>
      </x:c>
      <x:c r="L39" s="88" t="n">
        <x:v>46258</x:v>
      </x:c>
    </x:row>
    <x:row r="40" ht="48" customHeight="1">
      <x:c r="A40" s="62" t="str">
        <x:v>AI-001</x:v>
      </x:c>
      <x:c r="B40" s="70" t="str">
        <x:f>IF(F40="完了","☑","☐")</x:f>
        <x:v>☑</x:v>
      </x:c>
      <x:c r="C40" s="62" t="str">
        <x:v>AI添削</x:v>
      </x:c>
      <x:c r="D40" s="62" t="str">
        <x:v>契約</x:v>
      </x:c>
      <x:c r="E40" s="77" t="str">
        <x:v>添削結果の共通型を定義する</x:v>
      </x:c>
      <x:c r="F40" s="83" t="str">
        <x:v>完了</x:v>
      </x:c>
      <x:c r="G40" s="83" t="str">
        <x:v>P1</x:v>
      </x:c>
      <x:c r="H40" s="84" t="str">
        <x:v>画面がモデル固有形式に依存しない。FeedbackResult型を定義済み</x:v>
      </x:c>
      <x:c r="I40" s="84" t="str">
        <x:v>JSON検証とAPIへ接続</x:v>
      </x:c>
      <x:c r="J40" s="77" t="str">
        <x:v>モック・実APIが同じ型を返す</x:v>
      </x:c>
      <x:c r="K40" s="77" t="str">
        <x:v>web/src/lib/types/contracts.ts</x:v>
      </x:c>
      <x:c r="L40" s="88" t="n">
        <x:v>46258</x:v>
      </x:c>
    </x:row>
    <x:row r="41" ht="48" customHeight="1">
      <x:c r="A41" s="62" t="str">
        <x:v>AI-002</x:v>
      </x:c>
      <x:c r="B41" s="70" t="str">
        <x:f>IF(F41="完了","☑","☐")</x:f>
        <x:v>☑</x:v>
      </x:c>
      <x:c r="C41" s="62" t="str">
        <x:v>AI添削</x:v>
      </x:c>
      <x:c r="D41" s="62" t="str">
        <x:v>モック</x:v>
      </x:c>
      <x:c r="E41" s="77" t="str">
        <x:v>固定データで添削表示を確認する</x:v>
      </x:c>
      <x:c r="F41" s="83" t="str">
        <x:v>完了</x:v>
      </x:c>
      <x:c r="G41" s="83" t="str">
        <x:v>P1</x:v>
      </x:c>
      <x:c r="H41" s="84" t="str">
        <x:v>合格時は良かった点と任意の改善案を2件返し、画面で根拠とともに詳しく表示。要修正時は最優先1件に限定</x:v>
      </x:c>
      <x:c r="I41" s="84" t="str">
        <x:v>Claude接続後に答案中の具体表現を根拠とする2〜3件の合格コメント品質を評価</x:v>
      </x:c>
      <x:c r="J41" s="77" t="str">
        <x:v>入力後にモック結果が出る</x:v>
      </x:c>
      <x:c r="K41" s="77" t="str">
        <x:v>web/src/lib/features/learning/feedback.ts</x:v>
      </x:c>
      <x:c r="L41" s="88" t="n">
        <x:v>46262</x:v>
      </x:c>
    </x:row>
    <x:row r="42" ht="140" customHeight="1">
      <x:c r="A42" s="77" t="str">
        <x:v>AI-003</x:v>
      </x:c>
      <x:c r="B42" s="231" t="str">
        <x:v>☐</x:v>
      </x:c>
      <x:c r="C42" s="77" t="str">
        <x:v>AI添削</x:v>
      </x:c>
      <x:c r="D42" s="77" t="str">
        <x:v>Edge Function</x:v>
      </x:c>
      <x:c r="E42" s="77" t="str">
        <x:v>feedback Edge Functionを実装する</x:v>
      </x:c>
      <x:c r="F42" s="83" t="str">
        <x:v>要確認</x:v>
      </x:c>
      <x:c r="G42" s="83" t="str">
        <x:v>P0</x:v>
      </x:c>
      <x:c r="H42" s="84" t="str">
        <x:v>feedback Edge FunctionをSTEP 1の5問とSTEP 2・3の3問一括採点へ拡張。段階別カテゴリ・件数・問題ID・全問正解判定を検証し、Supabaseへ配備。</x:v>
      </x:c>
      <x:c r="I42" s="84" t="str">
        <x:v>利用者画面からSTEP 1〜3を提出し、モデル別の判定・正式保存・進捗更新を確認する。</x:v>
      </x:c>
      <x:c r="J42" s="77" t="str">
        <x:v>正常・異常ケースがテストを通る</x:v>
      </x:c>
      <x:c r="K42" s="77" t="str">
        <x:v>supabase/functions/feedback/</x:v>
      </x:c>
      <x:c r="L42" s="232" t="n">
        <x:v>46271</x:v>
      </x:c>
    </x:row>
    <x:row r="43" ht="140" customHeight="1">
      <x:c r="A43" s="77" t="str">
        <x:v>AI-004</x:v>
      </x:c>
      <x:c r="B43" s="231" t="str">
        <x:v>☐</x:v>
      </x:c>
      <x:c r="C43" s="77" t="str">
        <x:v>AI添削</x:v>
      </x:c>
      <x:c r="D43" s="77" t="str">
        <x:v>プロバイダー</x:v>
      </x:c>
      <x:c r="E43" s="77" t="str">
        <x:v>Claudeと他モデルを差し替え可能にする</x:v>
      </x:c>
      <x:c r="F43" s="83" t="str">
        <x:v>進行中</x:v>
      </x:c>
      <x:c r="G43" s="83" t="str">
        <x:v>P1</x:v>
      </x:c>
      <x:c r="H43" s="84" t="str">
        <x:v>Anthropic呼出を共通化し、STEP 1・4はHaiku 4.5、STEP 2・3とSTEP 5〜14はSonnet 4.6を使用。STEP 3の論理構成3問化に合わせ、旧Haiku設定からSonnetへ変更。</x:v>
      </x:c>
      <x:c r="I43" s="84" t="str">
        <x:v>Claude問題生成を追加する際に同じ呼出境界を再利用し、プロバイダー差替え契約を完成する。</x:v>
      </x:c>
      <x:c r="J43" s="77" t="str">
        <x:v>モックとClaudeを設定で切替可能</x:v>
      </x:c>
      <x:c r="K43" s="77" t="str">
        <x:v>supabase/functions/_shared/</x:v>
      </x:c>
      <x:c r="L43" s="232" t="n">
        <x:v>46271</x:v>
      </x:c>
    </x:row>
    <x:row r="44" ht="140" customHeight="1">
      <x:c r="A44" s="77" t="str">
        <x:v>AI-005</x:v>
      </x:c>
      <x:c r="B44" s="231" t="str">
        <x:v>☐</x:v>
      </x:c>
      <x:c r="C44" s="77" t="str">
        <x:v>AI添削</x:v>
      </x:c>
      <x:c r="D44" s="77" t="str">
        <x:v>プロンプト</x:v>
      </x:c>
      <x:c r="E44" s="77" t="str">
        <x:v>ルーブリック・指示のバージョン管理を接続する</x:v>
      </x:c>
      <x:c r="F44" s="83" t="str">
        <x:v>進行中</x:v>
      </x:c>
      <x:c r="G44" s="83" t="str">
        <x:v>P0</x:v>
      </x:c>
      <x:c r="H44" s="84" t="str">
        <x:v>STEP 2は情報関係・明確さ・情報選択、STEP 3は順序・不足説明・流れ修正を採点する段階別指示へ更新。正解例との文字列一致ではなく自然な言い換えを許容する。</x:v>
      </x:c>
      <x:c r="I44" s="84" t="str">
        <x:v>実答案で許容範囲と助言の分かりやすさを確認し、使用プロンプト版の保存を追加する。</x:v>
      </x:c>
      <x:c r="J44" s="77" t="str">
        <x:v>結果に使用バージョンが保存される</x:v>
      </x:c>
      <x:c r="K44" s="77" t="str">
        <x:v>web/src/lib/features/learning/feedback.ts / learning-design.ts / docs/architecture.md</x:v>
      </x:c>
      <x:c r="L44" s="232" t="n">
        <x:v>46271</x:v>
      </x:c>
    </x:row>
    <x:row r="45" ht="140" customHeight="1">
      <x:c r="A45" s="77" t="str">
        <x:v>AI-006</x:v>
      </x:c>
      <x:c r="B45" s="231" t="str">
        <x:v>☐</x:v>
      </x:c>
      <x:c r="C45" s="77" t="str">
        <x:v>AI添削</x:v>
      </x:c>
      <x:c r="D45" s="77" t="str">
        <x:v>検証</x:v>
      </x:c>
      <x:c r="E45" s="77" t="str">
        <x:v>AI出力をJSON Schemaで検証する</x:v>
      </x:c>
      <x:c r="F45" s="83" t="str">
        <x:v>要確認</x:v>
      </x:c>
      <x:c r="G45" s="83" t="str">
        <x:v>P0</x:v>
      </x:c>
      <x:c r="H45" s="84" t="str">
        <x:v>STEP 1〜3の問題セット用構造化出力を共通化。入力と同数の結果、問題ID、合否・言語状態の整合をEdge Functionで再検証し、不正出力は保存しない。</x:v>
      </x:c>
      <x:c r="I45" s="84" t="str">
        <x:v>STEP 2・3の実Claude応答で全問結果と履歴スナップショットを確認する。</x:v>
      </x:c>
      <x:c r="J45" s="77" t="str">
        <x:v>破損出力を安全に拒否できる</x:v>
      </x:c>
      <x:c r="K45" s="77" t="str">
        <x:v>supabase/functions/feedback/</x:v>
      </x:c>
      <x:c r="L45" s="232" t="n">
        <x:v>46271</x:v>
      </x:c>
    </x:row>
    <x:row r="46" ht="130" customHeight="1">
      <x:c r="A46" s="77" t="str">
        <x:v>AI-007</x:v>
      </x:c>
      <x:c r="B46" s="231" t="str">
        <x:v>☐</x:v>
      </x:c>
      <x:c r="C46" s="77" t="str">
        <x:v>AI添削</x:v>
      </x:c>
      <x:c r="D46" s="77" t="str">
        <x:v>安全運用</x:v>
      </x:c>
      <x:c r="E46" s="77" t="str">
        <x:v>タイムアウト・再試行・レート制限を実装する</x:v>
      </x:c>
      <x:c r="F46" s="83" t="str">
        <x:v>進行中</x:v>
      </x:c>
      <x:c r="G46" s="83" t="str">
        <x:v>P1</x:v>
      </x:c>
      <x:c r="H46" s="84" t="str">
        <x:v>確定したClaudeエラーでは次の提出に新しいrequest_idを発行し、通信結果が不明な場合と処理中だけ同じIDを再利用するよう修正。失敗した提出は正式成績へ保存しない。</x:v>
      </x:c>
      <x:c r="I46" s="84" t="str">
        <x:v>利用者画面でエラー後の再提出と、正常時の二重保存防止を確認する。</x:v>
      </x:c>
      <x:c r="J46" s="77" t="str">
        <x:v>障害時に安全なエラーを返す</x:v>
      </x:c>
      <x:c r="K46" s="77" t="str">
        <x:v>supabase/functions/feedback/</x:v>
      </x:c>
      <x:c r="L46" s="232" t="n">
        <x:v>46271</x:v>
      </x:c>
    </x:row>
    <x:row r="47" ht="48" customHeight="1">
      <x:c r="A47" s="62" t="str">
        <x:v>BILL-001</x:v>
      </x:c>
      <x:c r="B47" s="70" t="str">
        <x:f>IF(F47="完了","☑","☐")</x:f>
        <x:v>☑</x:v>
      </x:c>
      <x:c r="C47" s="62" t="str">
        <x:v>課金・利用権</x:v>
      </x:c>
      <x:c r="D47" s="62" t="str">
        <x:v>DB</x:v>
      </x:c>
      <x:c r="E47" s="77" t="str">
        <x:v>利用権・決済イベントテーブルを定義する</x:v>
      </x:c>
      <x:c r="F47" s="83" t="str">
        <x:v>完了</x:v>
      </x:c>
      <x:c r="G47" s="83" t="str">
        <x:v>P1</x:v>
      </x:c>
      <x:c r="H47" s="84" t="str">
        <x:v>Stripe詳細からアプリ利用権を分離。entitlementsとpayment_events初稿あり</x:v>
      </x:c>
      <x:c r="I47" s="84" t="str">
        <x:v>実装時に制約・索引を見直す</x:v>
      </x:c>
      <x:c r="J47" s="77" t="str">
        <x:v>利用権をDBで表現できる</x:v>
      </x:c>
      <x:c r="K47" s="77" t="str">
        <x:v>supabase/migrations/202608210001_initial_schema.sql</x:v>
      </x:c>
      <x:c r="L47" s="88" t="n">
        <x:v>46258</x:v>
      </x:c>
    </x:row>
    <x:row r="48" ht="48" customHeight="1">
      <x:c r="A48" s="62" t="str">
        <x:v>BILL-002</x:v>
      </x:c>
      <x:c r="B48" s="70" t="str">
        <x:f>IF(F48="完了","☑","☐")</x:f>
        <x:v>☐</x:v>
      </x:c>
      <x:c r="C48" s="62" t="str">
        <x:v>課金・利用権</x:v>
      </x:c>
      <x:c r="D48" s="62" t="str">
        <x:v>料金設計</x:v>
      </x:c>
      <x:c r="E48" s="77" t="str">
        <x:v>無料枠・価格・期限・提出上限を決める</x:v>
      </x:c>
      <x:c r="F48" s="83" t="str">
        <x:v>要確認</x:v>
      </x:c>
      <x:c r="G48" s="83" t="str">
        <x:v>P1</x:v>
      </x:c>
      <x:c r="H48" s="84" t="str">
        <x:v>提供プランと利用条件を確定。未決定</x:v>
      </x:c>
      <x:c r="I48" s="84" t="str">
        <x:v>学習機能完成後に原価と検証結果で決定</x:v>
      </x:c>
      <x:c r="J48" s="77" t="str">
        <x:v>料金表と利用権ルールが文書化される</x:v>
      </x:c>
      <x:c r="K48" s="77" t="str">
        <x:v>docs/architecture.md</x:v>
      </x:c>
      <x:c r="L48" s="88" t="n">
        <x:v>46258</x:v>
      </x:c>
    </x:row>
    <x:row r="49" ht="48" customHeight="1">
      <x:c r="A49" s="62" t="str">
        <x:v>BILL-003</x:v>
      </x:c>
      <x:c r="B49" s="70" t="str">
        <x:f>IF(F49="完了","☑","☐")</x:f>
        <x:v>☐</x:v>
      </x:c>
      <x:c r="C49" s="62" t="str">
        <x:v>課金・利用権</x:v>
      </x:c>
      <x:c r="D49" s="62" t="str">
        <x:v>Checkout</x:v>
      </x:c>
      <x:c r="E49" s="77" t="str">
        <x:v>Stripe Checkoutを作成する</x:v>
      </x:c>
      <x:c r="F49" s="83" t="str">
        <x:v>未着手</x:v>
      </x:c>
      <x:c r="G49" s="83" t="str">
        <x:v>P1</x:v>
      </x:c>
      <x:c r="H49" s="84" t="str">
        <x:v>サーバー側で安全に決済を開始。未実装</x:v>
      </x:c>
      <x:c r="I49" s="84" t="str">
        <x:v>create-checkout関数と画面を作る</x:v>
      </x:c>
      <x:c r="J49" s="77" t="str">
        <x:v>テスト決済を開始・完了できる</x:v>
      </x:c>
      <x:c r="K49" s="77" t="str">
        <x:v>supabase/functions/create-checkout/</x:v>
      </x:c>
      <x:c r="L49" s="88" t="n">
        <x:v>46258</x:v>
      </x:c>
    </x:row>
    <x:row r="50" ht="48" customHeight="1">
      <x:c r="A50" s="62" t="str">
        <x:v>BILL-004</x:v>
      </x:c>
      <x:c r="B50" s="70" t="str">
        <x:f>IF(F50="完了","☑","☐")</x:f>
        <x:v>☐</x:v>
      </x:c>
      <x:c r="C50" s="62" t="str">
        <x:v>課金・利用権</x:v>
      </x:c>
      <x:c r="D50" s="62" t="str">
        <x:v>Webhook</x:v>
      </x:c>
      <x:c r="E50" s="77" t="str">
        <x:v>Stripe Webhookで利用権を更新する</x:v>
      </x:c>
      <x:c r="F50" s="83" t="str">
        <x:v>未着手</x:v>
      </x:c>
      <x:c r="G50" s="83" t="str">
        <x:v>P1</x:v>
      </x:c>
      <x:c r="H50" s="84" t="str">
        <x:v>署名検証後にentitlementsへ反映。未実装</x:v>
      </x:c>
      <x:c r="I50" s="84" t="str">
        <x:v>stripe-webhook関数を作る</x:v>
      </x:c>
      <x:c r="J50" s="77" t="str">
        <x:v>再送を含め正しい利用権になる</x:v>
      </x:c>
      <x:c r="K50" s="77" t="str">
        <x:v>supabase/functions/stripe-webhook/</x:v>
      </x:c>
      <x:c r="L50" s="88" t="n">
        <x:v>46258</x:v>
      </x:c>
    </x:row>
    <x:row r="51" ht="48" customHeight="1">
      <x:c r="A51" s="62" t="str">
        <x:v>BILL-005</x:v>
      </x:c>
      <x:c r="B51" s="70" t="str">
        <x:f>IF(F51="完了","☑","☐")</x:f>
        <x:v>☐</x:v>
      </x:c>
      <x:c r="C51" s="62" t="str">
        <x:v>課金・利用権</x:v>
      </x:c>
      <x:c r="D51" s="62" t="str">
        <x:v>アプリ制御</x:v>
      </x:c>
      <x:c r="E51" s="77" t="str">
        <x:v>提出前に利用権をサーバー側で確認する</x:v>
      </x:c>
      <x:c r="F51" s="83" t="str">
        <x:v>未着手</x:v>
      </x:c>
      <x:c r="G51" s="83" t="str">
        <x:v>P1</x:v>
      </x:c>
      <x:c r="H51" s="84" t="str">
        <x:v>画面表示だけで制限しない。AccessState型のみ</x:v>
      </x:c>
      <x:c r="I51" s="84" t="str">
        <x:v>提出関数で利用権を検証</x:v>
      </x:c>
      <x:c r="J51" s="77" t="str">
        <x:v>無効な利用権では提出できない</x:v>
      </x:c>
      <x:c r="K51" s="77" t="str">
        <x:v>supabase/functions/feedback/</x:v>
      </x:c>
      <x:c r="L51" s="88" t="n">
        <x:v>46258</x:v>
      </x:c>
    </x:row>
    <x:row r="52" ht="48" customHeight="1">
      <x:c r="A52" s="62" t="str">
        <x:v>BILL-006</x:v>
      </x:c>
      <x:c r="B52" s="70" t="str">
        <x:f>IF(F52="完了","☑","☐")</x:f>
        <x:v>☐</x:v>
      </x:c>
      <x:c r="C52" s="62" t="str">
        <x:v>課金・利用権</x:v>
      </x:c>
      <x:c r="D52" s="62" t="str">
        <x:v>テスト</x:v>
      </x:c>
      <x:c r="E52" s="77" t="str">
        <x:v>決済再送・失敗・返金をテストする</x:v>
      </x:c>
      <x:c r="F52" s="83" t="str">
        <x:v>未着手</x:v>
      </x:c>
      <x:c r="G52" s="83" t="str">
        <x:v>P2</x:v>
      </x:c>
      <x:c r="H52" s="84" t="str">
        <x:v>冪等性と状態整合性を保証。未実装</x:v>
      </x:c>
      <x:c r="I52" s="84" t="str">
        <x:v>Stripeテスト環境でケースを作る</x:v>
      </x:c>
      <x:c r="J52" s="77" t="str">
        <x:v>重複イベントで二重反映しない</x:v>
      </x:c>
      <x:c r="K52" s="77" t="str">
        <x:v>supabase/functions/stripe-webhook/</x:v>
      </x:c>
      <x:c r="L52" s="88" t="n">
        <x:v>46258</x:v>
      </x:c>
    </x:row>
    <x:row r="53" ht="48" customHeight="1">
      <x:c r="A53" s="62" t="str">
        <x:v>ADM-001</x:v>
      </x:c>
      <x:c r="B53" s="70" t="str">
        <x:f>IF(F53="完了","☑","☐")</x:f>
        <x:v>☐</x:v>
      </x:c>
      <x:c r="C53" s="62" t="str">
        <x:v>管理者機能</x:v>
      </x:c>
      <x:c r="D53" s="62" t="str">
        <x:v>認証</x:v>
      </x:c>
      <x:c r="E53" s="77" t="str">
        <x:v>管理者専用ルートと権限制御を作る</x:v>
      </x:c>
      <x:c r="F53" s="83" t="str">
        <x:v>未着手</x:v>
      </x:c>
      <x:c r="G53" s="83" t="str">
        <x:v>P1</x:v>
      </x:c>
      <x:c r="H53" s="84" t="str">
        <x:v>学習者が管理画面へ入れない。DBにrole初稿のみ</x:v>
      </x:c>
      <x:c r="I53" s="84" t="str">
        <x:v>RLSとサーバーガードを実装</x:v>
      </x:c>
      <x:c r="J53" s="77" t="str">
        <x:v>学習者アクセスが拒否される</x:v>
      </x:c>
      <x:c r="K53" s="77" t="str">
        <x:v>web/src/lib/features/admin/</x:v>
      </x:c>
      <x:c r="L53" s="88" t="n">
        <x:v>46258</x:v>
      </x:c>
    </x:row>
    <x:row r="54" ht="48" customHeight="1">
      <x:c r="A54" s="62" t="str">
        <x:v>ADM-002</x:v>
      </x:c>
      <x:c r="B54" s="70" t="str">
        <x:f>IF(F54="完了","☑","☐")</x:f>
        <x:v>☐</x:v>
      </x:c>
      <x:c r="C54" s="62" t="str">
        <x:v>管理者機能</x:v>
      </x:c>
      <x:c r="D54" s="62" t="str">
        <x:v>教材管理</x:v>
      </x:c>
      <x:c r="E54" s="77" t="str">
        <x:v>課題・ルーブリック・指示を管理する</x:v>
      </x:c>
      <x:c r="F54" s="83" t="str">
        <x:v>未着手</x:v>
      </x:c>
      <x:c r="G54" s="83" t="str">
        <x:v>P1</x:v>
      </x:c>
      <x:c r="H54" s="84" t="str">
        <x:v>公開バージョンを安全に更新。DBテーブル初稿のみ</x:v>
      </x:c>
      <x:c r="I54" s="84" t="str">
        <x:v>まず読み取り画面から実装</x:v>
      </x:c>
      <x:c r="J54" s="77" t="str">
        <x:v>管理者だけが作成・公開できる</x:v>
      </x:c>
      <x:c r="K54" s="77" t="str">
        <x:v>web/src/lib/features/admin/</x:v>
      </x:c>
      <x:c r="L54" s="88" t="n">
        <x:v>46258</x:v>
      </x:c>
    </x:row>
    <x:row r="55" ht="48" customHeight="1">
      <x:c r="A55" s="62" t="str">
        <x:v>ADM-003</x:v>
      </x:c>
      <x:c r="B55" s="70" t="str">
        <x:f>IF(F55="完了","☑","☐")</x:f>
        <x:v>☐</x:v>
      </x:c>
      <x:c r="C55" s="62" t="str">
        <x:v>管理者機能</x:v>
      </x:c>
      <x:c r="D55" s="62" t="str">
        <x:v>ユーザー</x:v>
      </x:c>
      <x:c r="E55" s="77" t="str">
        <x:v>学習者・課題割当を管理する</x:v>
      </x:c>
      <x:c r="F55" s="83" t="str">
        <x:v>未着手</x:v>
      </x:c>
      <x:c r="G55" s="83" t="str">
        <x:v>P2</x:v>
      </x:c>
      <x:c r="H55" s="84" t="str">
        <x:v>割当・停止・確認が可能。DBテーブル初稿のみ</x:v>
      </x:c>
      <x:c r="I55" s="84" t="str">
        <x:v>少人数テスト前に実装</x:v>
      </x:c>
      <x:c r="J55" s="77" t="str">
        <x:v>管理者が割当を変更できる</x:v>
      </x:c>
      <x:c r="K55" s="77" t="str">
        <x:v>web/src/lib/features/admin/</x:v>
      </x:c>
      <x:c r="L55" s="88" t="n">
        <x:v>46258</x:v>
      </x:c>
    </x:row>
    <x:row r="56" ht="48" customHeight="1">
      <x:c r="A56" s="62" t="str">
        <x:v>ADM-004</x:v>
      </x:c>
      <x:c r="B56" s="70" t="str">
        <x:f>IF(F56="完了","☑","☐")</x:f>
        <x:v>☐</x:v>
      </x:c>
      <x:c r="C56" s="62" t="str">
        <x:v>管理者機能</x:v>
      </x:c>
      <x:c r="D56" s="62" t="str">
        <x:v>監査</x:v>
      </x:c>
      <x:c r="E56" s="77" t="str">
        <x:v>提出・添削・決済状態を確認する</x:v>
      </x:c>
      <x:c r="F56" s="83" t="str">
        <x:v>未着手</x:v>
      </x:c>
      <x:c r="G56" s="83" t="str">
        <x:v>P2</x:v>
      </x:c>
      <x:c r="H56" s="84" t="str">
        <x:v>問い合わせ時に状態を追跡可能。画面なし</x:v>
      </x:c>
      <x:c r="I56" s="84" t="str">
        <x:v>監査ログ方針と合わせて実装</x:v>
      </x:c>
      <x:c r="J56" s="77" t="str">
        <x:v>必要情報を権限付きで確認できる</x:v>
      </x:c>
      <x:c r="K56" s="77" t="str">
        <x:v>web/src/lib/features/admin/</x:v>
      </x:c>
      <x:c r="L56" s="88" t="n">
        <x:v>46258</x:v>
      </x:c>
    </x:row>
    <x:row r="57" ht="48" customHeight="1">
      <x:c r="A57" s="62" t="str">
        <x:v>MAIL-001</x:v>
      </x:c>
      <x:c r="B57" s="70" t="str">
        <x:f>IF(F57="完了","☑","☐")</x:f>
        <x:v>☐</x:v>
      </x:c>
      <x:c r="C57" s="62" t="str">
        <x:v>メール・通知</x:v>
      </x:c>
      <x:c r="D57" s="62" t="str">
        <x:v>サービス</x:v>
      </x:c>
      <x:c r="E57" s="77" t="str">
        <x:v>Resendアカウントと送信ドメインを準備する</x:v>
      </x:c>
      <x:c r="F57" s="83" t="str">
        <x:v>未着手</x:v>
      </x:c>
      <x:c r="G57" s="83" t="str">
        <x:v>P2</x:v>
      </x:c>
      <x:c r="H57" s="84" t="str">
        <x:v>本番メールの送信元を検証。未設定</x:v>
      </x:c>
      <x:c r="I57" s="84" t="str">
        <x:v>独自ドメイン決定後に設定</x:v>
      </x:c>
      <x:c r="J57" s="77" t="str">
        <x:v>ドメイン認証が完了</x:v>
      </x:c>
      <x:c r="K57" s="77" t="str">
        <x:v>Resend</x:v>
      </x:c>
      <x:c r="L57" s="88" t="n">
        <x:v>46258</x:v>
      </x:c>
    </x:row>
    <x:row r="58" ht="48" customHeight="1">
      <x:c r="A58" s="62" t="str">
        <x:v>MAIL-002</x:v>
      </x:c>
      <x:c r="B58" s="70" t="str">
        <x:f>IF(F58="完了","☑","☐")</x:f>
        <x:v>☐</x:v>
      </x:c>
      <x:c r="C58" s="62" t="str">
        <x:v>メール・通知</x:v>
      </x:c>
      <x:c r="D58" s="62" t="str">
        <x:v>認証メール</x:v>
      </x:c>
      <x:c r="E58" s="77" t="str">
        <x:v>Supabase Authの本番SMTPを設定する</x:v>
      </x:c>
      <x:c r="F58" s="83" t="str">
        <x:v>未着手</x:v>
      </x:c>
      <x:c r="G58" s="83" t="str">
        <x:v>P1</x:v>
      </x:c>
      <x:c r="H58" s="84" t="str">
        <x:v>認証メールを安定配信。未設定</x:v>
      </x:c>
      <x:c r="I58" s="84" t="str">
        <x:v>認証フロー完成後にResend接続</x:v>
      </x:c>
      <x:c r="J58" s="77" t="str">
        <x:v>認証メールが到達する</x:v>
      </x:c>
      <x:c r="K58" s="77" t="str">
        <x:v>Supabase Dashboard</x:v>
      </x:c>
      <x:c r="L58" s="88" t="n">
        <x:v>46258</x:v>
      </x:c>
    </x:row>
    <x:row r="59" ht="48" customHeight="1">
      <x:c r="A59" s="62" t="str">
        <x:v>MAIL-003</x:v>
      </x:c>
      <x:c r="B59" s="70" t="str">
        <x:f>IF(F59="完了","☑","☐")</x:f>
        <x:v>☐</x:v>
      </x:c>
      <x:c r="C59" s="62" t="str">
        <x:v>メール・通知</x:v>
      </x:c>
      <x:c r="D59" s="62" t="str">
        <x:v>通知</x:v>
      </x:c>
      <x:c r="E59" s="77" t="str">
        <x:v>決済・障害・重要通知メールを実装する</x:v>
      </x:c>
      <x:c r="F59" s="83" t="str">
        <x:v>未着手</x:v>
      </x:c>
      <x:c r="G59" s="83" t="str">
        <x:v>P2</x:v>
      </x:c>
      <x:c r="H59" s="84" t="str">
        <x:v>必要なイベントだけ通知。未実装</x:v>
      </x:c>
      <x:c r="I59" s="84" t="str">
        <x:v>イベント一覧とテンプレートを定義</x:v>
      </x:c>
      <x:c r="J59" s="77" t="str">
        <x:v>テスト送信と失敗処理が成功</x:v>
      </x:c>
      <x:c r="K59" s="77" t="str">
        <x:v>supabase/functions/</x:v>
      </x:c>
      <x:c r="L59" s="88" t="n">
        <x:v>46258</x:v>
      </x:c>
    </x:row>
    <x:row r="60" ht="48" customHeight="1">
      <x:c r="A60" s="62" t="str">
        <x:v>OPS-001</x:v>
      </x:c>
      <x:c r="B60" s="70" t="str">
        <x:v>☑</x:v>
      </x:c>
      <x:c r="C60" s="62" t="str">
        <x:v>公開・セキュリティ</x:v>
      </x:c>
      <x:c r="D60" s="62" t="str">
        <x:v>Cloudflare</x:v>
      </x:c>
      <x:c r="E60" s="77" t="str">
        <x:v>SvelteKitのCloudflare用アダプターを設定する</x:v>
      </x:c>
      <x:c r="F60" s="83" t="str">
        <x:v>完了</x:v>
      </x:c>
      <x:c r="G60" s="83" t="str">
        <x:v>P1</x:v>
      </x:c>
      <x:c r="H60" s="84" t="str">
        <x:v>公式Cloudflareアダプター、Wrangler、Worker設定をweb内へ固定。製品build、dry-run、ローカルWorkersの主要画面で確認済み</x:v>
      </x:c>
      <x:c r="I60" s="84" t="str">
        <x:v>Cloudflareの更新時に互換性とビルドを回帰確認する</x:v>
      </x:c>
      <x:c r="J60" s="77" t="str">
        <x:v>Cloudflare向けbuildとローカルWorkers起動が成功する</x:v>
      </x:c>
      <x:c r="K60" s="77" t="str">
        <x:v>web/vite.config.ts / web/wrangler.jsonc / web/package.json</x:v>
      </x:c>
      <x:c r="L60" s="88" t="n">
        <x:v>46268</x:v>
      </x:c>
    </x:row>
    <x:row r="61" ht="140" customHeight="1">
      <x:c r="A61" s="77" t="str">
        <x:v>OPS-002</x:v>
      </x:c>
      <x:c r="B61" s="231" t="str">
        <x:v>☐</x:v>
      </x:c>
      <x:c r="C61" s="77" t="str">
        <x:v>公開・セキュリティ</x:v>
      </x:c>
      <x:c r="D61" s="77" t="str">
        <x:v>検証環境</x:v>
      </x:c>
      <x:c r="E61" s="77" t="str">
        <x:v>Cloudflare Workersへ検証版を公開する</x:v>
      </x:c>
      <x:c r="F61" s="83" t="str">
        <x:v>進行中</x:v>
      </x:c>
      <x:c r="G61" s="83" t="str">
        <x:v>P0</x:v>
      </x:c>
      <x:c r="H61" s="84" t="str">
        <x:v>STEP 2・3の3問セット画面、旧未提出課題の安全な現行版更新、Claude一括採点を公開。Supabase migration・feedback Functionを適用し、Cloudflare Version 8f2c1e38-0980-40a4-a018-5e7dcabb8b62へ配備。</x:v>
      </x:c>
      <x:c r="I61" s="84" t="str">
        <x:v>公開画面でSTEP 2・3の入力・提出・修正・履歴を確認する。</x:v>
      </x:c>
      <x:c r="J61" s="77" t="str">
        <x:v>検証URLで認証・保存・再読込・ユーザー分離・学習遷移が成功する</x:v>
      </x:c>
      <x:c r="K61" s="77" t="str">
        <x:v>web/wrangler.jsonc / docs/cloudflare-staging.md</x:v>
      </x:c>
      <x:c r="L61" s="232" t="n">
        <x:v>46271</x:v>
      </x:c>
    </x:row>
    <x:row r="62" ht="48" customHeight="1">
      <x:c r="A62" s="62" t="str">
        <x:v>OPS-003</x:v>
      </x:c>
      <x:c r="B62" s="70" t="str">
        <x:f>IF(F62="完了","☑","☐")</x:f>
        <x:v>☐</x:v>
      </x:c>
      <x:c r="C62" s="62" t="str">
        <x:v>公開・セキュリティ</x:v>
      </x:c>
      <x:c r="D62" s="62" t="str">
        <x:v>秘密情報</x:v>
      </x:c>
      <x:c r="E62" s="77" t="str">
        <x:v>環境変数・APIキーを安全に登録する</x:v>
      </x:c>
      <x:c r="F62" s="83" t="str">
        <x:v>進行中</x:v>
      </x:c>
      <x:c r="G62" s="83" t="str">
        <x:v>P0</x:v>
      </x:c>
      <x:c r="H62" s="84" t="str">
        <x:v>Supabase Project URLとPublishable keyをCloudflare Workerの暗号化シークレットへ登録。値はGit管理外の.env.localから登録し、公開画面で接続設定を確認</x:v>
      </x:c>
      <x:c r="I62" s="84" t="str">
        <x:v>Claude・Stripe等を実装する際に各秘密鍵をサーバー側だけへ登録し、Git差分と公開バンドルを検査</x:v>
      </x:c>
      <x:c r="J62" s="77" t="str">
        <x:v>リポジトリに秘密情報がない</x:v>
      </x:c>
      <x:c r="K62" s="77" t="str">
        <x:v>web/.env.local / Cloudflare Worker secrets / docs/cloudflare-staging.md</x:v>
      </x:c>
      <x:c r="L62" s="88" t="n">
        <x:v>46268</x:v>
      </x:c>
    </x:row>
    <x:row r="63" ht="48" customHeight="1">
      <x:c r="A63" s="62" t="str">
        <x:v>OPS-004</x:v>
      </x:c>
      <x:c r="B63" s="70" t="str">
        <x:f>IF(F63="完了","☑","☐")</x:f>
        <x:v>☐</x:v>
      </x:c>
      <x:c r="C63" s="62" t="str">
        <x:v>公開・セキュリティ</x:v>
      </x:c>
      <x:c r="D63" s="62" t="str">
        <x:v>ボット対策</x:v>
      </x:c>
      <x:c r="E63" s="77" t="str">
        <x:v>Cloudflare Turnstileを重要操作へ追加する</x:v>
      </x:c>
      <x:c r="F63" s="83" t="str">
        <x:v>未着手</x:v>
      </x:c>
      <x:c r="G63" s="83" t="str">
        <x:v>P2</x:v>
      </x:c>
      <x:c r="H63" s="84" t="str">
        <x:v>不正登録・大量送信を抑止。未実装</x:v>
      </x:c>
      <x:c r="I63" s="84" t="str">
        <x:v>認証・提出フロー完成後に追加</x:v>
      </x:c>
      <x:c r="J63" s="77" t="str">
        <x:v>サーバー側検証が成功</x:v>
      </x:c>
      <x:c r="K63" s="77" t="str">
        <x:v>web/ / supabase/functions/</x:v>
      </x:c>
      <x:c r="L63" s="88" t="n">
        <x:v>46258</x:v>
      </x:c>
    </x:row>
    <x:row r="64" ht="48" customHeight="1">
      <x:c r="A64" s="62" t="str">
        <x:v>OPS-005</x:v>
      </x:c>
      <x:c r="B64" s="70" t="str">
        <x:f>IF(F64="完了","☑","☐")</x:f>
        <x:v>☐</x:v>
      </x:c>
      <x:c r="C64" s="62" t="str">
        <x:v>公開・セキュリティ</x:v>
      </x:c>
      <x:c r="D64" s="62" t="str">
        <x:v>ドメイン</x:v>
      </x:c>
      <x:c r="E64" s="77" t="str">
        <x:v>独自ドメインと運営者情報を設定する</x:v>
      </x:c>
      <x:c r="F64" s="83" t="str">
        <x:v>要確認</x:v>
      </x:c>
      <x:c r="G64" s="83" t="str">
        <x:v>P2</x:v>
      </x:c>
      <x:c r="H64" s="84" t="str">
        <x:v>本番URLと送信ドメインを確定。未決定</x:v>
      </x:c>
      <x:c r="I64" s="84" t="str">
        <x:v>公開前にドメインを選定</x:v>
      </x:c>
      <x:c r="J64" s="77" t="str">
        <x:v>DNS・HTTPS・運営者表示が確認できる</x:v>
      </x:c>
      <x:c r="K64" s="77" t="str">
        <x:v>Cloudflare / docs/</x:v>
      </x:c>
      <x:c r="L64" s="88" t="n">
        <x:v>46258</x:v>
      </x:c>
    </x:row>
    <x:row r="65" ht="48" customHeight="1">
      <x:c r="A65" s="62" t="str">
        <x:v>OPS-006</x:v>
      </x:c>
      <x:c r="B65" s="70" t="str">
        <x:f>IF(F65="完了","☑","☐")</x:f>
        <x:v>☐</x:v>
      </x:c>
      <x:c r="C65" s="62" t="str">
        <x:v>公開・セキュリティ</x:v>
      </x:c>
      <x:c r="D65" s="62" t="str">
        <x:v>監視</x:v>
      </x:c>
      <x:c r="E65" s="77" t="str">
        <x:v>エラーログ・可用性・API費用を監視する</x:v>
      </x:c>
      <x:c r="F65" s="83" t="str">
        <x:v>未着手</x:v>
      </x:c>
      <x:c r="G65" s="83" t="str">
        <x:v>P2</x:v>
      </x:c>
      <x:c r="H65" s="84" t="str">
        <x:v>障害とコスト増加を検知。未実装</x:v>
      </x:c>
      <x:c r="I65" s="84" t="str">
        <x:v>公開前に最低限の監視を追加</x:v>
      </x:c>
      <x:c r="J65" s="77" t="str">
        <x:v>異常時に通知される</x:v>
      </x:c>
      <x:c r="K65" s="77" t="str">
        <x:v>docs/operations/</x:v>
      </x:c>
      <x:c r="L65" s="88" t="n">
        <x:v>46258</x:v>
      </x:c>
    </x:row>
    <x:row r="66" ht="140" customHeight="1">
      <x:c r="A66" s="77" t="str">
        <x:v>QA-001</x:v>
      </x:c>
      <x:c r="B66" s="231" t="str">
        <x:v>☑</x:v>
      </x:c>
      <x:c r="C66" s="77" t="str">
        <x:v>テスト・運用・法務</x:v>
      </x:c>
      <x:c r="D66" s="77" t="str">
        <x:v>単体テスト</x:v>
      </x:c>
      <x:c r="E66" s="77" t="str">
        <x:v>Vitestで学習ルールと変換処理をテストする</x:v>
      </x:c>
      <x:c r="F66" s="83" t="str">
        <x:v>完了</x:v>
      </x:c>
      <x:c r="G66" s="83" t="str">
        <x:v>P0</x:v>
      </x:c>
      <x:c r="H66" s="84" t="str">
        <x:v>STEP 1〜3のセット出題、ローテーション、Claude契約、修正再提出、履歴、旧問題更新を含む17ファイル122テストが成功。型検査0エラー・0警告、製品ビルド成功。公開STEP 2・3はHTTP 200。</x:v>
      </x:c>
      <x:c r="I66" s="84" t="str">
        <x:v>認証済みの実画面E2EとClaude品質・実測トークン確認を追加する。</x:v>
      </x:c>
      <x:c r="J66" s="77" t="str">
        <x:v>主要ロジックのテストがCIで成功</x:v>
      </x:c>
      <x:c r="K66" s="77" t="str">
        <x:v>web/src/**/*.test.ts / .github/workflows/verify.yml</x:v>
      </x:c>
      <x:c r="L66" s="232" t="n">
        <x:v>46271</x:v>
      </x:c>
    </x:row>
    <x:row r="67" ht="48" customHeight="1">
      <x:c r="A67" s="62" t="str">
        <x:v>QA-002</x:v>
      </x:c>
      <x:c r="B67" s="70" t="str">
        <x:f>IF(F67="完了","☑","☐")</x:f>
        <x:v>☐</x:v>
      </x:c>
      <x:c r="C67" s="62" t="str">
        <x:v>テスト・運用・法務</x:v>
      </x:c>
      <x:c r="D67" s="62" t="str">
        <x:v>画面テスト</x:v>
      </x:c>
      <x:c r="E67" s="77" t="str">
        <x:v>Testing Libraryで主要操作をテストする</x:v>
      </x:c>
      <x:c r="F67" s="83" t="str">
        <x:v>未着手</x:v>
      </x:c>
      <x:c r="G67" s="83" t="str">
        <x:v>P1</x:v>
      </x:c>
      <x:c r="H67" s="84" t="str">
        <x:v>入力・提出・結果表示を自動確認。未導入</x:v>
      </x:c>
      <x:c r="I67" s="84" t="str">
        <x:v>画面分割と合わせて追加</x:v>
      </x:c>
      <x:c r="J67" s="77" t="str">
        <x:v>重要コンポーネントのテストが成功</x:v>
      </x:c>
      <x:c r="K67" s="77" t="str">
        <x:v>web/src/</x:v>
      </x:c>
      <x:c r="L67" s="88" t="n">
        <x:v>46258</x:v>
      </x:c>
    </x:row>
    <x:row r="68" ht="48" customHeight="1">
      <x:c r="A68" s="62" t="str">
        <x:v>QA-003</x:v>
      </x:c>
      <x:c r="B68" s="70" t="str">
        <x:f>IF(F68="完了","☑","☐")</x:f>
        <x:v>☐</x:v>
      </x:c>
      <x:c r="C68" s="62" t="str">
        <x:v>テスト・運用・法務</x:v>
      </x:c>
      <x:c r="D68" s="62" t="str">
        <x:v>E2E</x:v>
      </x:c>
      <x:c r="E68" s="77" t="str">
        <x:v>Playwrightで学習フローを通しテストする</x:v>
      </x:c>
      <x:c r="F68" s="83" t="str">
        <x:v>未着手</x:v>
      </x:c>
      <x:c r="G68" s="83" t="str">
        <x:v>P1</x:v>
      </x:c>
      <x:c r="H68" s="84" t="str">
        <x:v>ログインから結果確認まで自動化。未導入</x:v>
      </x:c>
      <x:c r="I68" s="84" t="str">
        <x:v>ログイン、要修正、修正入力、再提出、合格、進級テスト、再読込、ユーザー分離の主要遷移を自動化する</x:v>
      </x:c>
      <x:c r="J68" s="77" t="str">
        <x:v>主要シナリオがCIで成功</x:v>
      </x:c>
      <x:c r="K68" s="77" t="str">
        <x:v>web/e2e/</x:v>
      </x:c>
      <x:c r="L68" s="88" t="n">
        <x:v>46269</x:v>
      </x:c>
    </x:row>
    <x:row r="69" ht="48" customHeight="1">
      <x:c r="A69" s="62" t="str">
        <x:v>QA-004</x:v>
      </x:c>
      <x:c r="B69" s="70" t="str">
        <x:f>IF(F69="完了","☑","☐")</x:f>
        <x:v>☐</x:v>
      </x:c>
      <x:c r="C69" s="62" t="str">
        <x:v>テスト・運用・法務</x:v>
      </x:c>
      <x:c r="D69" s="62" t="str">
        <x:v>品質</x:v>
      </x:c>
      <x:c r="E69" s="77" t="str">
        <x:v>スマホ・アクセシビリティ・性能を確認する</x:v>
      </x:c>
      <x:c r="F69" s="83" t="str">
        <x:v>未着手</x:v>
      </x:c>
      <x:c r="G69" s="83" t="str">
        <x:v>P1</x:v>
      </x:c>
      <x:c r="H69" s="84" t="str">
        <x:v>主要端末で使いやすく高速。レスポンシブCSS初稿のみ</x:v>
      </x:c>
      <x:c r="I69" s="84" t="str">
        <x:v>主要画面完成後に計測・修正</x:v>
      </x:c>
      <x:c r="J69" s="77" t="str">
        <x:v>基準と確認結果が記録される</x:v>
      </x:c>
      <x:c r="K69" s="77" t="str">
        <x:v>docs/quality/</x:v>
      </x:c>
      <x:c r="L69" s="88" t="n">
        <x:v>46258</x:v>
      </x:c>
    </x:row>
    <x:row r="70" ht="48" customHeight="1">
      <x:c r="A70" s="62" t="str">
        <x:v>QA-005</x:v>
      </x:c>
      <x:c r="B70" s="70" t="str">
        <x:f>IF(F70="完了","☑","☐")</x:f>
        <x:v>☐</x:v>
      </x:c>
      <x:c r="C70" s="62" t="str">
        <x:v>テスト・運用・法務</x:v>
      </x:c>
      <x:c r="D70" s="62" t="str">
        <x:v>法務</x:v>
      </x:c>
      <x:c r="E70" s="77" t="str">
        <x:v>利用規約・プライバシー・未成年対応を整備する</x:v>
      </x:c>
      <x:c r="F70" s="83" t="str">
        <x:v>要確認</x:v>
      </x:c>
      <x:c r="G70" s="83" t="str">
        <x:v>P1</x:v>
      </x:c>
      <x:c r="H70" s="84" t="str">
        <x:v>公開に必要な表示と同意を準備。未決定</x:v>
      </x:c>
      <x:c r="I70" s="84" t="str">
        <x:v>データ保持方針・運営者情報と合わせて作成</x:v>
      </x:c>
      <x:c r="J70" s="77" t="str">
        <x:v>公開画面から文書を確認できる</x:v>
      </x:c>
      <x:c r="K70" s="77" t="str">
        <x:v>docs/legal/</x:v>
      </x:c>
      <x:c r="L70" s="88" t="n">
        <x:v>46258</x:v>
      </x:c>
    </x:row>
    <x:row r="71" ht="48" customHeight="1">
      <x:c r="A71" s="64" t="str">
        <x:v>QA-006</x:v>
      </x:c>
      <x:c r="B71" s="71" t="str">
        <x:f>IF(F71="完了","☑","☐")</x:f>
        <x:v>☐</x:v>
      </x:c>
      <x:c r="C71" s="64" t="str">
        <x:v>テスト・運用・法務</x:v>
      </x:c>
      <x:c r="D71" s="64" t="str">
        <x:v>試験運用</x:v>
      </x:c>
      <x:c r="E71" s="79" t="str">
        <x:v>少人数テストと一般公開判定を行う</x:v>
      </x:c>
      <x:c r="F71" s="85" t="str">
        <x:v>未着手</x:v>
      </x:c>
      <x:c r="G71" s="85" t="str">
        <x:v>P2</x:v>
      </x:c>
      <x:c r="H71" s="86" t="str">
        <x:v>実利用で問題とコストを確認。未実施</x:v>
      </x:c>
      <x:c r="I71" s="86" t="str">
        <x:v>主要機能・監視・法務完了後に開始</x:v>
      </x:c>
      <x:c r="J71" s="79" t="str">
        <x:v>テスト結果と公開判断が記録される</x:v>
      </x:c>
      <x:c r="K71" s="79" t="str">
        <x:v>docs/operations/</x:v>
      </x:c>
      <x:c r="L71" s="89" t="n">
        <x:v>46258</x:v>
      </x:c>
    </x:row>
    <x:row r="72">
      <x:c r="A72" t="str">
        <x:v>ENV-008</x:v>
      </x:c>
      <x:c r="B72" t="str">
        <x:f>IF(F72="完了","☑","☐")</x:f>
        <x:v>☑</x:v>
      </x:c>
      <x:c r="C72" t="str">
        <x:v>基盤・開発環境</x:v>
      </x:c>
      <x:c r="D72" t="str">
        <x:v>進捗管理</x:v>
      </x:c>
      <x:c r="E72" t="str">
        <x:v>開発進捗Excelの日次活動管理を廃止する</x:v>
      </x:c>
      <x:c r="F72" t="str">
        <x:v>完了</x:v>
      </x:c>
      <x:c r="G72" t="str">
        <x:v>P1</x:v>
      </x:c>
      <x:c r="H72" t="str">
        <x:v>2026-08-25の方針変更により、開発進捗Excelの日次活動シートと作業時間集計を削除</x:v>
      </x:c>
      <x:c r="I72" t="str">
        <x:v>作業単位の更新履歴だけを継続し、日次・作業時間は記録しない</x:v>
      </x:c>
      <x:c r="J72" t="str">
        <x:v>日次活動シートと作業時間欄がなく、更新ルールにも日次記録がない</x:v>
      </x:c>
      <x:c r="K72" t="str">
        <x:v>開発進捗管理.xlsx / AGENTS.md</x:v>
      </x:c>
      <x:c r="L72" s="55" t="n">
        <x:v>46259</x:v>
      </x:c>
    </x:row>
    <x:row r="73">
      <x:c r="A73" t="str">
        <x:v>APP-010</x:v>
      </x:c>
      <x:c r="B73" t="str">
        <x:f>IF(F73="完了","☑","☐")</x:f>
        <x:v>☑</x:v>
      </x:c>
      <x:c r="C73" t="str">
        <x:v>アプリ本体・学習機能</x:v>
      </x:c>
      <x:c r="D73" t="str">
        <x:v>活動履歴・仕様</x:v>
      </x:c>
      <x:c r="E73" t="str">
        <x:v>学習活動として数える基準と緑色の段階を決める</x:v>
      </x:c>
      <x:c r="F73" t="str">
        <x:v>完了</x:v>
      </x:c>
      <x:c r="G73" t="str">
        <x:v>P1</x:v>
      </x:c>
      <x:c r="H73" t="str">
        <x:v>モック添削への提出を1活動とし、自動保存は除外。1〜4件以上で緑を濃くする年次表示を設計正本へ記録</x:v>
      </x:c>
      <x:c r="I73" t="str">
        <x:v>Supabase実装時も同じ活動定義を維持できるか確認</x:v>
      </x:c>
      <x:c r="J73" t="str">
        <x:v>活動イベント、日次集計単位、色の段階、表示年の仕様が記録される</x:v>
      </x:c>
      <x:c r="K73" t="str">
        <x:v>docs/architecture.md</x:v>
      </x:c>
      <x:c r="L73" s="55" t="n">
        <x:v>46258</x:v>
      </x:c>
    </x:row>
    <x:row r="74">
      <x:c r="A74" t="str">
        <x:v>APP-011</x:v>
      </x:c>
      <x:c r="B74" t="str">
        <x:f>IF(F74="完了","☑","☐")</x:f>
        <x:v>☑</x:v>
      </x:c>
      <x:c r="C74" t="str">
        <x:v>アプリ本体・学習機能</x:v>
      </x:c>
      <x:c r="D74" t="str">
        <x:v>活動履歴・画面</x:v>
      </x:c>
      <x:c r="E74" t="str">
        <x:v>学習者向けGitHub風の日次活動グリッドを表示する</x:v>
      </x:c>
      <x:c r="F74" t="str">
        <x:v>完了</x:v>
      </x:c>
      <x:c r="G74" t="str">
        <x:v>P1</x:v>
      </x:c>
      <x:c r="H74" t="str">
        <x:v>提出履歴から年次活動グリッドを表示。実DBの提出3件を確認し、狭幅画面では横スクロール外に隠れていた最新活動週を自動表示するよう修正</x:v>
      </x:c>
      <x:c r="I74" t="str">
        <x:v>認証済みE2Eで狭幅・年境界・複数端末表示を確認</x:v>
      </x:c>
      <x:c r="J74" t="str">
        <x:v>本人の活動だけが年単位で表示され、スマホでも日付と活動量を確認できる</x:v>
      </x:c>
      <x:c r="K74" t="str">
        <x:v>web/src/lib/components/ActivityGrid.svelte / web/src/routes/progress/</x:v>
      </x:c>
      <x:c r="L74" s="55" t="n">
        <x:v>46261</x:v>
      </x:c>
    </x:row>
    <x:row r="75">
      <x:c r="A75" t="str">
        <x:v>DB-007</x:v>
      </x:c>
      <x:c r="B75" t="str">
        <x:f>IF(F75="完了","☑","☐")</x:f>
        <x:v>☑</x:v>
      </x:c>
      <x:c r="C75" t="str">
        <x:v>DB・権限</x:v>
      </x:c>
      <x:c r="D75" t="str">
        <x:v>活動履歴・集計</x:v>
      </x:c>
      <x:c r="E75" t="str">
        <x:v>ユーザー別の学習活動を保存し日単位で安全に集計する</x:v>
      </x:c>
      <x:c r="F75" t="str">
        <x:v>完了</x:v>
      </x:c>
      <x:c r="G75" t="str">
        <x:v>P1</x:v>
      </x:c>
      <x:c r="H75" t="str">
        <x:v>別の活動テーブルは作らず、RLSで本人だけ取得できるsubmissionsのsubmitted_atを日別集計する構成に決定・実装</x:v>
      </x:c>
      <x:c r="I75" t="str">
        <x:v>データ量増加時に年単位取得またはDB集計の必要性を評価</x:v>
      </x:c>
      <x:c r="J75" t="str">
        <x:v>RLSで本人の活動だけを取得でき、日付別集計が重複なく返る</x:v>
      </x:c>
      <x:c r="K75" t="str">
        <x:v>web/src/lib/features/learning/learning-service.ts / web/src/lib/features/learning/local-store.ts</x:v>
      </x:c>
      <x:c r="L75" s="55" t="n">
        <x:v>46259</x:v>
      </x:c>
    </x:row>
    <x:row r="76">
      <x:c r="A76" t="str">
        <x:v>QA-007</x:v>
      </x:c>
      <x:c r="B76" t="str">
        <x:f>IF(F76="完了","☑","☐")</x:f>
        <x:v>☐</x:v>
      </x:c>
      <x:c r="C76" t="str">
        <x:v>テスト・運用・法務</x:v>
      </x:c>
      <x:c r="D76" t="str">
        <x:v>活動履歴テスト</x:v>
      </x:c>
      <x:c r="E76" t="str">
        <x:v>日次活動の集計・権限・グリッド表示をテストする</x:v>
      </x:c>
      <x:c r="F76" t="str">
        <x:v>進行中</x:v>
      </x:c>
      <x:c r="G76" t="str">
        <x:v>P1</x:v>
      </x:c>
      <x:c r="H76" t="str">
        <x:v>ローカル集計と実DBのRLSに加え、提出3件の日時と表示対象年を確認。最新活動週の自動表示を実装し、型検査・53テストが成功</x:v>
      </x:c>
      <x:c r="I76" t="str">
        <x:v>年境界・タイムゾーン・狭幅画面の表示を認証済みE2Eへ追加</x:v>
      </x:c>
      <x:c r="J76" t="str">
        <x:v>主要境界条件と権限ケースがCIで成功する</x:v>
      </x:c>
      <x:c r="K76" t="str">
        <x:v>web/src/lib/features/learning/local-store.test.ts / supabase/tests/learner_data_rls.sql</x:v>
      </x:c>
      <x:c r="L76" s="55" t="n">
        <x:v>46261</x:v>
      </x:c>
    </x:row>
    <x:row r="77">
      <x:c r="A77" t="str">
        <x:v>CUR-007</x:v>
      </x:c>
      <x:c r="B77" t="str">
        <x:f>IF(F77="完了","☑","☐")</x:f>
        <x:v>☑</x:v>
      </x:c>
      <x:c r="C77" t="str">
        <x:v>カリキュラム</x:v>
      </x:c>
      <x:c r="D77" t="str">
        <x:v>問題バンク・出題</x:v>
      </x:c>
      <x:c r="E77" t="str">
        <x:v>各段階で異なる問題を履歴に基づいて循環出題する</x:v>
      </x:c>
      <x:c r="F77" t="str">
        <x:v>完了</x:v>
      </x:c>
      <x:c r="G77" t="str">
        <x:v>P0</x:v>
      </x:c>
      <x:c r="H77" t="str">
        <x:v>14段階の出題へ再編。段階1は5領域から1問ずつ選ぶセット、段階7は役割判別・不要文削除・並べ替え・不足説明補完を組み合わせた問題へ更新</x:v>
      </x:c>
      <x:c r="I77" t="str">
        <x:v>Claude生成問題にも14段階の本文・ヒント分離と段階1の構造化5問形式を適用</x:v>
      </x:c>
      <x:c r="J77" t="str">
        <x:v>同じ段階で未出題が優先され、直前と同一問題が連続しない</x:v>
      </x:c>
      <x:c r="K77" t="str">
        <x:v>web/scripts/practice-bank.ts / web/src/lib/features/learning/problem-generator.ts</x:v>
      </x:c>
      <x:c r="L77" s="55" t="n">
        <x:v>46267</x:v>
      </x:c>
    </x:row>
    <x:row r="78">
      <x:c r="A78" t="str">
        <x:v>APP-012</x:v>
      </x:c>
      <x:c r="B78" t="str">
        <x:f>IF(F78="完了","☑","☐")</x:f>
        <x:v>☑</x:v>
      </x:c>
      <x:c r="C78" t="str">
        <x:v>アプリ本体・学習機能</x:v>
      </x:c>
      <x:c r="D78" t="str">
        <x:v>段階進級・設定</x:v>
      </x:c>
      <x:c r="E78" t="str">
        <x:v>通常トレーニング・進級テストのループと回数設定を実装する</x:v>
      </x:c>
      <x:c r="F78" t="str">
        <x:v>完了</x:v>
      </x:c>
      <x:c r="G78" t="str">
        <x:v>P0</x:v>
      </x:c>
      <x:c r="H78" t="str">
        <x:v>通常トレーニング10回合格後、進級テストで累積3回合格すると進級。全課程を14段階へ拡張し、段階1は5問全問正解で1回合格する方式を実装</x:v>
      </x:c>
      <x:c r="I78" t="str">
        <x:v>認証済みブラウザE2Eで段階1の5問セット、段階7、段階14修了を確認</x:v>
      </x:c>
      <x:c r="J78" t="str">
        <x:v>通常トレーニングの合格数が減らず、進級テストで不合格を挟んでも規定合格数で次段階へ進む</x:v>
      </x:c>
      <x:c r="K78" t="str">
        <x:v>web/src/lib/features/learning/progression.ts / web/src/routes/tasks/ / web/src/routes/progress/</x:v>
      </x:c>
      <x:c r="L78" s="55" t="n">
        <x:v>46267</x:v>
      </x:c>
    </x:row>
    <x:row r="79">
      <x:c r="A79" t="str">
        <x:v>DB-008</x:v>
      </x:c>
      <x:c r="B79" t="str">
        <x:v>☑</x:v>
      </x:c>
      <x:c r="C79" t="str">
        <x:v>DB・権限</x:v>
      </x:c>
      <x:c r="D79" t="str">
        <x:v>段階進捗</x:v>
      </x:c>
      <x:c r="E79" t="str">
        <x:v>学習フェーズ・合格数・設定・修了状態を安全に永続化する</x:v>
      </x:c>
      <x:c r="F79" t="str">
        <x:v>完了</x:v>
      </x:c>
      <x:c r="G79" t="str">
        <x:v>P0</x:v>
      </x:c>
      <x:c r="H79" t="str">
        <x:v>14段階対応と段階1不合格セットの一回完了処理をmigrationで開発DBへ適用。RLS・進級・冪等性テスト成功</x:v>
      </x:c>
      <x:c r="I79" t="str">
        <x:v>実ユーザーの既存進捗と段階番号変更の扱いをE2Eで確認</x:v>
      </x:c>
      <x:c r="J79" t="str">
        <x:v>再提出を履歴保存し、二重計上・別段階提出・進捗改ざんを拒否する</x:v>
      </x:c>
      <x:c r="K79" t="str">
        <x:v>supabase/migrations/202609020001_fourteen_stage_curriculum.sql / supabase/tests/learner_data_rls.sql</x:v>
      </x:c>
      <x:c r="L79" s="55" t="n">
        <x:v>46267</x:v>
      </x:c>
    </x:row>
    <x:row r="80" ht="110" customHeight="1">
      <x:c r="A80" s="211" t="str">
        <x:v>QA-008</x:v>
      </x:c>
      <x:c r="B80" s="211" t="str">
        <x:v>☐</x:v>
      </x:c>
      <x:c r="C80" s="211" t="str">
        <x:v>テスト・運用・法務</x:v>
      </x:c>
      <x:c r="D80" s="211" t="str">
        <x:v>進級・出題テスト</x:v>
      </x:c>
      <x:c r="E80" s="211" t="str">
        <x:v>問題循環・累積合格・設定・既存データ移行を検証する</x:v>
      </x:c>
      <x:c r="F80" s="211" t="str">
        <x:v>進行中</x:v>
      </x:c>
      <x:c r="G80" s="211" t="str">
        <x:v>P0</x:v>
      </x:c>
      <x:c r="H80" s="211" t="str">
        <x:v>隔離Chromiumの1100px・390px幅で要修正／合格のスクロール位置、解答保持、再読み込み、再提出、履歴の不正解強調を確認。JS例外なし。</x:v>
      </x:c>
      <x:c r="I80" s="211" t="str">
        <x:v>認証済み公開画面で確認を継続。DBと合格数計算は今回変更なし。</x:v>
      </x:c>
      <x:c r="J80" s="211" t="str">
        <x:v>ローカル・実DB・E2Eの主要境界ケースが成功する</x:v>
      </x:c>
      <x:c r="K80" s="211" t="str">
        <x:v>web/src/**/*.test.ts / supabase/tests/learner_data_rls.sql</x:v>
      </x:c>
      <x:c r="L80" s="213" t="n">
        <x:v>46270</x:v>
      </x:c>
    </x:row>
    <x:row r="81" ht="140" customHeight="1">
      <x:c r="A81" s="211" t="str">
        <x:v>APP-013</x:v>
      </x:c>
      <x:c r="B81" s="211" t="str">
        <x:v>☐</x:v>
      </x:c>
      <x:c r="C81" s="211" t="str">
        <x:v>アプリ本体・学習機能</x:v>
      </x:c>
      <x:c r="D81" s="211" t="str">
        <x:v>問題生成・類似回避</x:v>
      </x:c>
      <x:c r="E81" s="211" t="str">
        <x:v>問題数を固定せず段階別特徴署名で異なる傾向を選ぶ</x:v>
      </x:c>
      <x:c r="F81" s="211" t="str">
        <x:v>進行中</x:v>
      </x:c>
      <x:c r="G81" s="211" t="str">
        <x:v>P0</x:v>
      </x:c>
      <x:c r="H81" s="211" t="str">
        <x:v>STEP 2・3は各3領域の問題を組み合わせ、27セットを重複なく選択。セット内容を問題識別値に含める。STEP 1は5問セットを維持。</x:v>
      </x:c>
      <x:c r="I81" s="211" t="str">
        <x:v>27セット消化前にClaude問題生成・検証・問題バンク補充を実装する。</x:v>
      </x:c>
      <x:c r="J81" s="211" t="str">
        <x:v>履歴・技能統計から説明可能に次の訓練目標を選び、同一傾向を避けられる</x:v>
      </x:c>
      <x:c r="K81" s="211" t="str">
        <x:v>web/src/lib/features/learning/problem-generator.ts / progression.ts / docs/architecture.md</x:v>
      </x:c>
      <x:c r="L81" s="213" t="n">
        <x:v>46271</x:v>
      </x:c>
    </x:row>
    <x:row r="82">
      <x:c r="A82" t="str">
        <x:v>APP-014</x:v>
      </x:c>
      <x:c r="B82" t="str">
        <x:f>IF(F82="完了","☑","☐")</x:f>
        <x:v>☑</x:v>
      </x:c>
      <x:c r="C82" t="str">
        <x:v>アプリ本体・学習機能</x:v>
      </x:c>
      <x:c r="D82" t="str">
        <x:v>段階移動</x:v>
      </x:c>
      <x:c r="E82" t="str">
        <x:v>到達済み段階へ戻り再訓練できるようにする</x:v>
      </x:c>
      <x:c r="F82" t="str">
        <x:v>完了</x:v>
      </x:c>
      <x:c r="G82" t="str">
        <x:v>P0</x:v>
      </x:c>
      <x:c r="H82" t="str">
        <x:v>現在段階と最高到達段階を分離し、到達済み段階を選択可能。移動時は通常トレーニングから開始し、最高到達・修了・問題履歴を保持</x:v>
      </x:c>
      <x:c r="I82" t="str">
        <x:v>実ユーザーで段階往復後の同期を確認</x:v>
      </x:c>
      <x:c r="J82" t="str">
        <x:v>未解放段階は選べず、戻っても最高到達段階・修了記録・問題履歴が残る</x:v>
      </x:c>
      <x:c r="K82" t="str">
        <x:v>web/src/lib/features/learning/ / web/src/routes/tasks/ / web/src/routes/progress/</x:v>
      </x:c>
      <x:c r="L82" s="55" t="n">
        <x:v>46261</x:v>
      </x:c>
    </x:row>
    <x:row r="83">
      <x:c r="A83" t="str">
        <x:v>DB-009</x:v>
      </x:c>
      <x:c r="B83" t="str">
        <x:v>☑</x:v>
      </x:c>
      <x:c r="C83" t="str">
        <x:v>DB・権限</x:v>
      </x:c>
      <x:c r="D83" t="str">
        <x:v>問題履歴・特徴</x:v>
      </x:c>
      <x:c r="E83" t="str">
        <x:v>発行済み問題と段階別特徴署名を本人限定で永続化する</x:v>
      </x:c>
      <x:c r="F83" t="str">
        <x:v>完了</x:v>
      </x:c>
      <x:c r="G83" t="str">
        <x:v>P0</x:v>
      </x:c>
      <x:c r="H83" t="str">
        <x:v>実DBでfeature_signature v2、問題履歴、問題指紋、技能統計の本人分離と原子的保存を検証済み</x:v>
      </x:c>
      <x:c r="I83" t="str">
        <x:v>Claude問題生成接続後に生成元・版・類似回避を実測する</x:v>
      </x:c>
      <x:c r="J83" t="str">
        <x:v>本人履歴だけ読め、問題仕様・生成版・技能統計が原子的かつ安全に保存される</x:v>
      </x:c>
      <x:c r="K83" t="str">
        <x:v>supabase/migrations/202608210001_initial_schema.sql / supabase/tests/learner_data_rls.sql</x:v>
      </x:c>
      <x:c r="L83" s="55" t="n">
        <x:v>46260</x:v>
      </x:c>
    </x:row>
    <x:row r="84">
      <x:c r="A84" t="str">
        <x:v>QA-009</x:v>
      </x:c>
      <x:c r="B84" t="str">
        <x:v>☐</x:v>
      </x:c>
      <x:c r="C84" t="str">
        <x:v>テスト・運用・法務</x:v>
      </x:c>
      <x:c r="D84" t="str">
        <x:v>動的出題・段階往復</x:v>
      </x:c>
      <x:c r="E84" t="str">
        <x:v>問題生成、特徴検証、旧データ移行、段階往復を回帰テストする</x:v>
      </x:c>
      <x:c r="F84" t="str">
        <x:v>進行中</x:v>
      </x:c>
      <x:c r="G84" t="str">
        <x:v>P0</x:v>
      </x:c>
      <x:c r="H84" t="str">
        <x:v>67単体テスト、型検査、製品ビルド、実DBの14段階・段階1一回完了・累積合格式進級のRLS/RPCテストが成功</x:v>
      </x:c>
      <x:c r="I84" t="str">
        <x:v>認証済みE2EとClaude生成後の多様性・履歴保持を追加</x:v>
      </x:c>
      <x:c r="J84" t="str">
        <x:v>ローカル・実DB・E2Eで適応出題、履歴、段階状態、二重計上防止が一致する</x:v>
      </x:c>
      <x:c r="K84" t="str">
        <x:v>web/src/**/*.test.ts / supabase/tests/learner_data_rls.sql</x:v>
      </x:c>
      <x:c r="L84" s="55" t="n">
        <x:v>46267</x:v>
      </x:c>
    </x:row>
    <x:row r="85" ht="48" customHeight="1">
      <x:c r="A85" t="str">
        <x:v>CUR-008</x:v>
      </x:c>
      <x:c r="B85" t="str">
        <x:v>☑</x:v>
      </x:c>
      <x:c r="C85" t="str">
        <x:v>カリキュラム</x:v>
      </x:c>
      <x:c r="D85" t="str">
        <x:v>適応出題設計</x:v>
      </x:c>
      <x:c r="E85" t="str">
        <x:v>14段階の技能分類と問題設計図を定義する</x:v>
      </x:c>
      <x:c r="F85" t="str">
        <x:v>完了</x:v>
      </x:c>
      <x:c r="G85" t="str">
        <x:v>P0</x:v>
      </x:c>
      <x:c r="H85" s="211" t="str">
        <x:v>全14段階を、文の基礎→一文修正→文間関係→意見と理由→段落分析・構築→要約・資料・反対意見→構成メモ→小論文へ再設計。段階1と7の詳細仕様を確定</x:v>
      </x:c>
      <x:c r="I85" s="211" t="str">
        <x:v>実利用ログから各段階の負荷、標準合格数、段階1の問題パターンを定期レビュー</x:v>
      </x:c>
      <x:c r="J85" s="211" t="str">
        <x:v>各段階の訓練目標・必須要素・特徴がコードと設計書で一致する</x:v>
      </x:c>
      <x:c r="K85" s="211" t="str">
        <x:v>docs/architecture.md / web/src/lib/features/learning/learning-design.ts / web/scripts/convert-curriculum.ts</x:v>
      </x:c>
      <x:c r="L85" s="55" t="n">
        <x:v>46267</x:v>
      </x:c>
    </x:row>
    <x:row r="86" ht="48" customHeight="1">
      <x:c r="A86" t="str">
        <x:v>APP-015</x:v>
      </x:c>
      <x:c r="B86" t="str">
        <x:v>☑</x:v>
      </x:c>
      <x:c r="C86" t="str">
        <x:v>アプリ本体・学習機能</x:v>
      </x:c>
      <x:c r="D86" t="str">
        <x:v>適応学習</x:v>
      </x:c>
      <x:c r="E86" t="str">
        <x:v>過去の誤り・苦手技能・題材経験から次問を選ぶ</x:v>
      </x:c>
      <x:c r="F86" t="str">
        <x:v>完了</x:v>
      </x:c>
      <x:c r="G86" t="str">
        <x:v>P0</x:v>
      </x:c>
      <x:c r="H86" s="211" t="str">
        <x:v>苦手50%・中核30%・未経験20%を決定的に選択。直近結果と十分な試行数を考慮し、初回合格を苦手扱いしないよう境界条件も修正</x:v>
      </x:c>
      <x:c r="I86" s="211" t="str">
        <x:v>実ユーザーの学習ログで閾値と配分を調整</x:v>
      </x:c>
      <x:c r="J86" s="211" t="str">
        <x:v>同じ履歴から同じ選択結果が得られ、苦手偏重と題材固定を防げる</x:v>
      </x:c>
      <x:c r="K86" s="211" t="str">
        <x:v>web/src/lib/features/learning/mastery.ts / progression.ts / problem-generator.ts</x:v>
      </x:c>
      <x:c r="L86" s="92" t="n">
        <x:v>46260</x:v>
      </x:c>
    </x:row>
    <x:row r="87" ht="125" customHeight="1">
      <x:c r="A87" s="211" t="str">
        <x:v>DB-010</x:v>
      </x:c>
      <x:c r="B87" s="211" t="str">
        <x:v>☑</x:v>
      </x:c>
      <x:c r="C87" s="211" t="str">
        <x:v>DB・権限</x:v>
      </x:c>
      <x:c r="D87" s="211" t="str">
        <x:v>適応学習データ</x:v>
      </x:c>
      <x:c r="E87" s="211" t="str">
        <x:v>技能別結果・習熟度・共有問題バンクを安全に保存する</x:v>
      </x:c>
      <x:c r="F87" s="211" t="str">
        <x:v>完了</x:v>
      </x:c>
      <x:c r="G87" s="211" t="str">
        <x:v>P0</x:v>
      </x:c>
      <x:c r="H87" s="211" t="str">
        <x:v>AI予約テーブルとサービス専用RPCをmigrationで適用。ブラウザのsubmit_mock実行権限を削除し、利用量と正式提出を同一トランザクションで保存。</x:v>
      </x:c>
      <x:c r="I87" s="211" t="str">
        <x:v>問題生成Edge Functionから問題バンクへ安全に登録する専用RPCを追加する。</x:v>
      </x:c>
      <x:c r="J87" s="211" t="str">
        <x:v>本人の技能統計が隔離され、承認済み問題を安全に共有・再利用できる</x:v>
      </x:c>
      <x:c r="K87" s="211" t="str">
        <x:v>supabase/migrations/202608210001_initial_schema.sql / supabase/tests/</x:v>
      </x:c>
      <x:c r="L87" s="213" t="n">
        <x:v>46271</x:v>
      </x:c>
    </x:row>
    <x:row r="88" ht="48" customHeight="1">
      <x:c r="A88" t="str">
        <x:v>AI-008</x:v>
      </x:c>
      <x:c r="B88" t="str">
        <x:v>☐</x:v>
      </x:c>
      <x:c r="C88" t="str">
        <x:v>AI添削</x:v>
      </x:c>
      <x:c r="D88" t="str">
        <x:v>問題生成</x:v>
      </x:c>
      <x:c r="E88" t="str">
        <x:v>Claudeで自然な問題文を生成・検証し問題バンクへ蓄積する</x:v>
      </x:c>
      <x:c r="F88" t="str">
        <x:v>進行中</x:v>
      </x:c>
      <x:c r="G88" t="str">
        <x:v>P0</x:v>
      </x:c>
      <x:c r="H88" s="211" t="str">
        <x:v>短いProblemSpecification、段階条件検証、n-gram類似検査、問題バンク優先、在庫不足時だけAI生成する契約とフォールバックを実装</x:v>
      </x:c>
      <x:c r="I88" s="211" t="str">
        <x:v>Claude Edge Functionの構造化出力・1回再試行・問題バンク登録を実装</x:v>
      </x:c>
      <x:c r="J88" s="211" t="str">
        <x:v>不正・重複・条件逸脱問題を発行せず、生成コストと版を記録できる</x:v>
      </x:c>
      <x:c r="K88" s="211" t="str">
        <x:v>web/src/lib/features/learning/problem-generator.ts / ai-budget.ts / docs/architecture.md</x:v>
      </x:c>
      <x:c r="L88" s="92" t="n">
        <x:v>46260</x:v>
      </x:c>
    </x:row>
    <x:row r="89" ht="140" customHeight="1">
      <x:c r="A89" s="211" t="str">
        <x:v>QA-010</x:v>
      </x:c>
      <x:c r="B89" s="211" t="str">
        <x:v>☐</x:v>
      </x:c>
      <x:c r="C89" s="211" t="str">
        <x:v>テスト・運用・法務</x:v>
      </x:c>
      <x:c r="D89" s="211" t="str">
        <x:v>適応出題・生成</x:v>
      </x:c>
      <x:c r="E89" s="211" t="str">
        <x:v>苦手反映・多様性・生成検証・フォールバックを検証する</x:v>
      </x:c>
      <x:c r="F89" s="211" t="str">
        <x:v>進行中</x:v>
      </x:c>
      <x:c r="G89" s="211" t="str">
        <x:v>P0</x:v>
      </x:c>
      <x:c r="H89" s="211" t="str">
        <x:v>STEP 2・3の件数・カテゴリ・問題ハッシュ・27セット重複回避を含む122単体テストが成功。Supabase migration履歴一致、公開STEP 2・3 HTTP 200。</x:v>
      </x:c>
      <x:c r="I89" s="211" t="str">
        <x:v>認証済みE2Eで3段階の一部不正解、修正再提出、全問合格、履歴、進捗を検証する。</x:v>
      </x:c>
      <x:c r="J89" s="211" t="str">
        <x:v>決定的単体テスト、RLS、E2E、生成異常系が成功し、AI上限について所有者の明示承認を得る</x:v>
      </x:c>
      <x:c r="K89" s="211" t="str">
        <x:v>web/src/**/*.test.ts / supabase/tests/ / web/e2e/</x:v>
      </x:c>
      <x:c r="L89" s="213" t="n">
        <x:v>46271</x:v>
      </x:c>
    </x:row>
    <x:row r="90" ht="140" customHeight="1">
      <x:c r="A90" s="211" t="str">
        <x:v>CUR-009</x:v>
      </x:c>
      <x:c r="B90" s="211" t="str">
        <x:v>☑</x:v>
      </x:c>
      <x:c r="C90" s="211" t="str">
        <x:v>カリキュラム</x:v>
      </x:c>
      <x:c r="D90" s="211" t="str">
        <x:v>全体再設計</x:v>
      </x:c>
      <x:c r="E90" s="211" t="str">
        <x:v>14段階の学習順序と段階別到達目標を実装する</x:v>
      </x:c>
      <x:c r="F90" s="211" t="str">
        <x:v>完了</x:v>
      </x:c>
      <x:c r="G90" s="211" t="str">
        <x:v>P0</x:v>
      </x:c>
      <x:c r="H90" s="211" t="str">
        <x:v>14段階のうちSTEP 1を5問の文法基礎、STEP 2を3問の一文構成、STEP 3を3問の短い論理構成として再設計し、STEP 4の自力で意見と理由を書く段階へ接続。</x:v>
      </x:c>
      <x:c r="I90" s="211" t="str">
        <x:v>実利用結果をもとに各セットの負荷・語彙・合格基準を再評価する。</x:v>
      </x:c>
      <x:c r="J90" s="211" t="str">
        <x:v>画面・設計書・問題生成で14段階が一致する</x:v>
      </x:c>
      <x:c r="K90" s="211" t="str">
        <x:v>docs/architecture.md / web/scripts/convert-curriculum.ts / web/src/lib/data/curriculum.json</x:v>
      </x:c>
      <x:c r="L90" s="213" t="n">
        <x:v>46271</x:v>
      </x:c>
    </x:row>
    <x:row r="91" ht="140" customHeight="1">
      <x:c r="A91" s="211" t="str">
        <x:v>APP-016</x:v>
      </x:c>
      <x:c r="B91" s="211" t="str">
        <x:v>☑</x:v>
      </x:c>
      <x:c r="C91" s="211" t="str">
        <x:v>アプリ本体・学習機能</x:v>
      </x:c>
      <x:c r="D91" s="211" t="str">
        <x:v>段階1・基礎問題</x:v>
      </x:c>
      <x:c r="E91" s="211" t="str">
        <x:v>5問1セットの表示・採点・解説画面を実装する</x:v>
      </x:c>
      <x:c r="F91" s="211" t="str">
        <x:v>完了</x:v>
      </x:c>
      <x:c r="G91" s="211" t="str">
        <x:v>P0</x:v>
      </x:c>
      <x:c r="H91" s="211" t="str">
        <x:v>STEP 1の5問セットに加え、STEP 2・3の3問セットを画面・Claude採点・修正・履歴・問題識別へ実装。旧未提出課題だけ現行版へ更新し、提出済み履歴は変更しない。</x:v>
      </x:c>
      <x:c r="I91" s="211" t="str">
        <x:v>認証済みE2Eで選択式・記述式・下書き復元と3問セットの一連操作を確認する。</x:v>
      </x:c>
      <x:c r="J91" s="211" t="str">
        <x:v>5問をまとめて提出でき、正誤・正解・理由が全問表示される</x:v>
      </x:c>
      <x:c r="K91" s="211" t="str">
        <x:v>web/src/routes/tasks/[taskId]/+page.svelte / web/src/lib/features/learning/feedback.ts</x:v>
      </x:c>
      <x:c r="L91" s="213" t="n">
        <x:v>46271</x:v>
      </x:c>
    </x:row>
    <x:row r="92" ht="150" customHeight="1">
      <x:c r="A92" s="211" t="str">
        <x:v>DB-011</x:v>
      </x:c>
      <x:c r="B92" s="211" t="str">
        <x:v>☑</x:v>
      </x:c>
      <x:c r="C92" s="211" t="str">
        <x:v>DB・権限</x:v>
      </x:c>
      <x:c r="D92" s="211" t="str">
        <x:v>14段階・段階1保存</x:v>
      </x:c>
      <x:c r="E92" s="211" t="str">
        <x:v>14段階と段階1一回完了をDBへ反映する</x:v>
      </x:c>
      <x:c r="F92" s="211" t="str">
        <x:v>完了</x:v>
      </x:c>
      <x:c r="G92" s="211" t="str">
        <x:v>P0</x:v>
      </x:c>
      <x:c r="H92" s="211" t="str">
        <x:v>段階上限制約と進級RPCを14へ拡張済み。未提出の旧STEP 2・3だけを現行問題へ更新するmigrationに続き、別段階の未提出課題を保持したまま到達済み段階へ移動できるmigrationを適用。提出済み履歴・未提出課題はいずれも削除しない。</x:v>
      </x:c>
      <x:c r="I92" s="211" t="str">
        <x:v>認証済みE2Eで未提出課題がある状態の段階変更と、元の段階へ戻った際の課題再開を確認する。</x:v>
      </x:c>
      <x:c r="J92" s="211" t="str">
        <x:v>段階14を保存でき、段階1の答え公開後に同じセットを再提出できない</x:v>
      </x:c>
      <x:c r="K92" s="211" t="str">
        <x:v>supabase/migrations/202609020001_fourteen_stage_curriculum.sql / 202609020002_stage_one_skill_targets.sql / 202609020003_expand_skill_allowlist.sql</x:v>
      </x:c>
      <x:c r="L92" s="213" t="n">
        <x:v>46271</x:v>
      </x:c>
    </x:row>
    <x:row r="93" ht="150" customHeight="1">
      <x:c r="A93" s="211" t="str">
        <x:v>QA-011</x:v>
      </x:c>
      <x:c r="B93" s="211" t="str">
        <x:v>☑</x:v>
      </x:c>
      <x:c r="C93" s="211" t="str">
        <x:v>テスト・運用・法務</x:v>
      </x:c>
      <x:c r="D93" s="211" t="str">
        <x:v>14段階・段階1回帰</x:v>
      </x:c>
      <x:c r="E93" s="211" t="str">
        <x:v>14段階と5問セットの回帰テストを行う</x:v>
      </x:c>
      <x:c r="F93" s="211" t="str">
        <x:v>完了</x:v>
      </x:c>
      <x:c r="G93" s="211" t="str">
        <x:v>P0</x:v>
      </x:c>
      <x:c r="H93" s="211" t="str">
        <x:v>STEP 1の5問とSTEP 2・3の3問セットについて、件数・カテゴリ・問題ハッシュ・全問正解・修正再提出・履歴・27セット重複回避を122単体テストで検証。未提出課題を保持した段階変更のDB契約テストを追加し、123テスト、型検査、製品ビルド、migration適用が成功。</x:v>
      </x:c>
      <x:c r="I93" s="211" t="str">
        <x:v>認証済み画面E2EでClaude実応答、DB保存、履歴、進捗、未提出課題を残した段階往復を確認する。</x:v>
      </x:c>
      <x:c r="J93" s="211" t="str">
        <x:v>ローカル・DBで段階数、採点、進級、履歴が一致する</x:v>
      </x:c>
      <x:c r="K93" s="211" t="str">
        <x:v>web/src/**/*.test.ts / supabase/tests/learner_data_rls.sql</x:v>
      </x:c>
      <x:c r="L93" s="213" t="n">
        <x:v>46271</x:v>
      </x:c>
    </x:row>
    <x:row r="94" ht="130" customHeight="1">
      <x:c r="A94" s="211" t="str">
        <x:v>AI-009</x:v>
      </x:c>
      <x:c r="B94" s="211" t="str">
        <x:v>☐</x:v>
      </x:c>
      <x:c r="C94" s="211" t="str">
        <x:v>AI添削</x:v>
      </x:c>
      <x:c r="D94" s="211" t="str">
        <x:v>利用量・予算制御</x:v>
      </x:c>
      <x:c r="E94" s="211" t="str">
        <x:v>問題生成と添削のトークン使用量・回数・費用を制御する</x:v>
      </x:c>
      <x:c r="F94" s="211" t="str">
        <x:v>進行中</x:v>
      </x:c>
      <x:c r="G94" s="211" t="str">
        <x:v>P0</x:v>
      </x:c>
      <x:c r="H94" s="211" t="str">
        <x:v>暫定上限をDBで強制し、呼出前予約と利用量記録を実装。Schema修正後のSonnet 4.6直接検査は入力924・出力331トークン。現行上限値は未承認のprovisional。</x:v>
      </x:c>
      <x:c r="I94" s="211" t="str">
        <x:v>利用者画面の実提出でトークン量を記録し、最終リリーステストで品質・費用を提示して上限変更を必ず確認する。</x:v>
      </x:c>
      <x:c r="J94" s="211" t="str">
        <x:v>暫定値を本番へ流用せず、所有者確認済みの上限で品質・費用テストが成功しreview_statusがapprovedになる</x:v>
      </x:c>
      <x:c r="K94" s="211" t="str">
        <x:v>web/src/lib/features/learning/ai-budget.ts / supabase/migrations/202608210001_initial_schema.sql</x:v>
      </x:c>
      <x:c r="L94" s="213" t="n">
        <x:v>46271</x:v>
      </x:c>
    </x:row>
    <x:row r="95" ht="140" customHeight="1">
      <x:c r="A95" s="211" t="str">
        <x:v>CUR-010</x:v>
      </x:c>
      <x:c r="B95" s="211" t="str">
        <x:v>☑</x:v>
      </x:c>
      <x:c r="C95" s="211" t="str">
        <x:v>カリキュラム</x:v>
      </x:c>
      <x:c r="D95" s="211" t="str">
        <x:v>課題文</x:v>
      </x:c>
      <x:c r="E95" s="211" t="str">
        <x:v>STEP3の解答形式を明確化する</x:v>
      </x:c>
      <x:c r="F95" s="211" t="str">
        <x:v>完了</x:v>
      </x:c>
      <x:c r="G95" s="211" t="str">
        <x:v>P0</x:v>
      </x:c>
      <x:c r="H95" s="211" t="str">
        <x:v>旧STEP 3の単純な接続詞補充を廃止。文の順序、論理の不足、重複・脱線の修正を扱う3問セットへ置換し、課題文・ヒント・解答例・採点指示を一致させた。</x:v>
      </x:c>
      <x:c r="I95" s="211" t="str">
        <x:v>実利用でSTEP 4への橋渡しとして負荷が適切か確認する。</x:v>
      </x:c>
      <x:c r="J95" s="211" t="str">
        <x:v>学習者が一文化か二文化かを迷わず、課題文・ヒント・解答例が一致する</x:v>
      </x:c>
      <x:c r="K95" s="211" t="str">
        <x:v>web/scripts/practice-bank.ts / web/src/lib/features/learning/learning-design.ts / web/src/lib/data/curriculum.json</x:v>
      </x:c>
      <x:c r="L95" s="213" t="n">
        <x:v>46271</x:v>
      </x:c>
    </x:row>
    <x:row r="96" ht="140" customHeight="1">
      <x:c r="A96" s="211" t="str">
        <x:v>CUR-011</x:v>
      </x:c>
      <x:c r="B96" s="211" t="str">
        <x:v>☑</x:v>
      </x:c>
      <x:c r="C96" s="211" t="str">
        <x:v>カリキュラム</x:v>
      </x:c>
      <x:c r="D96" s="211" t="str">
        <x:v>課題文・日本語</x:v>
      </x:c>
      <x:c r="E96" s="211" t="str">
        <x:v>全段階の課題文・ヒント・解答例を平易な日本語へ統一する</x:v>
      </x:c>
      <x:c r="F96" s="211" t="str">
        <x:v>完了</x:v>
      </x:c>
      <x:c r="G96" s="211" t="str">
        <x:v>P0</x:v>
      </x:c>
      <x:c r="H96" s="211" t="str">
        <x:v>STEP 2を情報関係・曖昧さ・情報選択、STEP 3を順序・不足説明・流れ修正の平易な3問セットへ更新。各問題は改行表示し、記述問題には複数行入力欄を使う。</x:v>
      </x:c>
      <x:c r="I96" s="211" t="str">
        <x:v>Claudeの実コメントが学習者に分かりやすい日本語か確認し、必要なら表現を調整する。</x:v>
      </x:c>
      <x:c r="J96" s="211" t="str">
        <x:v>課題文だけで入力形式を判断でき、ヒント・解答例・採点条件が矛盾しない</x:v>
      </x:c>
      <x:c r="K96" s="211" t="str">
        <x:v>web/scripts/practice-bank.ts / web/src/lib/features/learning/learning-design.ts / feedback.ts</x:v>
      </x:c>
      <x:c r="L96" s="213" t="n">
        <x:v>46271</x:v>
      </x:c>
    </x:row>
  </x:sheetData>
  <x:mergeCells>
    <x:mergeCell ref="A1:L1"/>
    <x:mergeCell ref="A2:L2"/>
  </x:mergeCells>
  <x:conditionalFormatting sqref="F5:F71">
    <x:cfRule type="containsText" dxfId="0" priority="1" operator="containsText" text="完了"/>
    <x:cfRule type="containsText" dxfId="1" priority="2" operator="containsText" text="進行中"/>
    <x:cfRule type="containsText" dxfId="2" priority="3" operator="containsText" text="要確認"/>
    <x:cfRule type="containsText" dxfId="3" priority="4" operator="containsText" text="未着手"/>
  </x:conditionalFormatting>
  <x:conditionalFormatting sqref="G5:G71">
    <x:cfRule type="containsText" dxfId="4" priority="5" operator="containsText" text="P0"/>
  </x:conditionalFormatting>
  <x:dataValidations count="4">
    <x:dataValidation type="list" sqref="F5:F204">
      <x:formula1>"未着手,進行中,要確認,保留,完了"</x:formula1>
    </x:dataValidation>
    <x:dataValidation type="list" sqref="G5:G204">
      <x:formula1>"P0,P1,P2,P3"</x:formula1>
    </x:dataValidation>
    <x:dataValidation type="list" sqref="F85:F89">
      <x:formula1>"未着手,進行中,要確認,保留,完了"</x:formula1>
    </x:dataValidation>
    <x:dataValidation type="list" sqref="G85:G89">
      <x:formula1>"P0,P1,P2"</x:formula1>
    </x:dataValidation>
  </x:dataValidations>
  <x:pageMargins left="0.7" right="0.7" top="0.75" bottom="0.75" header="0.3" footer="0.3"/>
  <x:tableParts count="1">
    <x:tablePart xmlns:r="http://schemas.openxmlformats.org/officeDocument/2006/relationships" r:id="R3d6ad80f984b4e3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3" hidden="0" customWidth="1"/>
    <x:col min="2" max="2" width="20" hidden="0" customWidth="1"/>
    <x:col min="3" max="3" width="50" hidden="0" customWidth="1"/>
    <x:col min="4" max="4" width="32" hidden="0" customWidth="1"/>
    <x:col min="5" max="5" width="15" hidden="0" customWidth="1"/>
    <x:col min="6" max="6" width="46" hidden="0" customWidth="1"/>
  </x:cols>
  <x:sheetData>
    <x:row r="1" ht="34" customHeight="1">
      <x:c r="A1" s="203" t="str">
        <x:v>更新履歴</x:v>
      </x:c>
      <x:c r="B1" s="203"/>
      <x:c r="C1" s="203"/>
      <x:c r="D1" s="203"/>
      <x:c r="E1" s="203"/>
      <x:c r="F1" s="203"/>
    </x:row>
    <x:row r="3">
      <x:c r="A3" s="205" t="str">
        <x:v>更新日</x:v>
      </x:c>
      <x:c r="B3" s="205" t="str">
        <x:v>カテゴリ</x:v>
      </x:c>
      <x:c r="C3" s="205" t="str">
        <x:v>更新内容</x:v>
      </x:c>
      <x:c r="D3" s="205" t="str">
        <x:v>関連タスクID</x:v>
      </x:c>
      <x:c r="E3" s="205" t="str">
        <x:v>Gitコミット</x:v>
      </x:c>
      <x:c r="F3" s="205" t="str">
        <x:v>更新者・備考</x:v>
      </x:c>
    </x:row>
    <x:row r="4" ht="48" customHeight="1">
      <x:c r="A4" s="209" t="n">
        <x:v>46255</x:v>
      </x:c>
      <x:c r="B4" s="210" t="str">
        <x:v>設計</x:v>
      </x:c>
      <x:c r="C4" s="210" t="str">
        <x:v>Supabase + Cloudflare、SvelteKit、Stripe、Claude等の採用構成と実装順を整理</x:v>
      </x:c>
      <x:c r="D4" s="210" t="str">
        <x:v>全体</x:v>
      </x:c>
      <x:c r="E4" s="210"/>
      <x:c r="F4" s="210" t="str">
        <x:v>設計正本をarchitecture.mdへ一元化</x:v>
      </x:c>
    </x:row>
    <x:row r="5" ht="48" customHeight="1">
      <x:c r="A5" s="208" t="n">
        <x:v>46256</x:v>
      </x:c>
      <x:c r="B5" s="207" t="str">
        <x:v>基盤・DB</x:v>
      </x:c>
      <x:c r="C5" s="207" t="str">
        <x:v>SvelteKit雛形、共通型、モック画面、初期DBスキーマ、CIを作成</x:v>
      </x:c>
      <x:c r="D5" s="207" t="str">
        <x:v>ENV-006 / APP-001〜003 / DB-001</x:v>
      </x:c>
      <x:c r="E5" s="207" t="str">
        <x:v>90aeb00</x:v>
      </x:c>
      <x:c r="F5" s="207" t="str">
        <x:v>Initial application scaffold</x:v>
      </x:c>
    </x:row>
    <x:row r="6" ht="48" customHeight="1">
      <x:c r="A6" s="209" t="n">
        <x:v>46258</x:v>
      </x:c>
      <x:c r="B6" s="210" t="str">
        <x:v>基盤・開発環境</x:v>
      </x:c>
      <x:c r="C6" s="210" t="str">
        <x:v>GitHub HTTPS連携、asdf Node 24.19.0、Corepack pnpm 11.19.0を確認</x:v>
      </x:c>
      <x:c r="D6" s="210" t="str">
        <x:v>ENV-001 / ENV-004 / ENV-005</x:v>
      </x:c>
      <x:c r="E6" s="210"/>
      <x:c r="F6" s="210" t="str">
        <x:v>.tool-versionsは次回コミット対象</x:v>
      </x:c>
    </x:row>
    <x:row r="7" ht="48" customHeight="1">
      <x:c r="A7" s="208" t="n">
        <x:v>46258</x:v>
      </x:c>
      <x:c r="B7" s="207" t="str">
        <x:v>進捗管理</x:v>
      </x:c>
      <x:c r="C7" s="207" t="str">
        <x:v>カテゴリ別の実装タスク、集計、更新履歴を一元化</x:v>
      </x:c>
      <x:c r="D7" s="207" t="str">
        <x:v>全体</x:v>
      </x:c>
      <x:c r="E7" s="207"/>
      <x:c r="F7" s="207" t="str">
        <x:v>このExcelを進捗の正本として運用開始</x:v>
      </x:c>
    </x:row>
    <x:row r="8" ht="48" customHeight="1">
      <x:c r="A8" s="209" t="n">
        <x:v>46258</x:v>
      </x:c>
      <x:c r="B8" s="210" t="str">
        <x:v>要件・進捗管理</x:v>
      </x:c>
      <x:c r="C8" s="210" t="str">
        <x:v>学習者向け日次活動履歴をアプリ実装計画へ追加</x:v>
      </x:c>
      <x:c r="D8" s="210" t="str">
        <x:v>APP-010 / APP-011 / DB-007 / QA-007</x:v>
      </x:c>
      <x:c r="E8" s="210"/>
      <x:c r="F8" s="210" t="str">
        <x:v>要件・DB・画面・テストへ分割。アプリコードの実装は未着手</x:v>
      </x:c>
    </x:row>
    <x:row r="9" ht="48" customHeight="1">
      <x:c r="A9" s="208" t="n">
        <x:v>46258</x:v>
      </x:c>
      <x:c r="B9" s="207" t="str">
        <x:v>ローカルMVP</x:v>
      </x:c>
      <x:c r="C9" s="207" t="str">
        <x:v>カリキュラム生成、13課題、下書き、モック添削、履歴、進捗、日次活動、PWAを実装・検証</x:v>
      </x:c>
      <x:c r="D9" s="207" t="str">
        <x:v>ENV-006〜007 / APP-004〜011 / CUR-002〜006 / QA-001・007</x:v>
      </x:c>
      <x:c r="E9" s="207"/>
      <x:c r="F9" s="207" t="str">
        <x:v>pnpm verify成功。PC・スマホ幅で一連の操作を確認。Supabase・Claude・Stripeは未接続</x:v>
      </x:c>
    </x:row>
    <x:row r="10" ht="48" customHeight="1">
      <x:c r="A10" s="209" t="n">
        <x:v>46258</x:v>
      </x:c>
      <x:c r="B10" s="210" t="str">
        <x:v>認証・DB</x:v>
      </x:c>
      <x:c r="C10" s="210" t="str">
        <x:v>Supabaseクライアント、メール認証画面、本人限定RLS、クラウド保存切替、接続手順を実装</x:v>
      </x:c>
      <x:c r="D10" s="210" t="str">
        <x:v>AUTH-001〜004・007 / DB-002〜005</x:v>
      </x:c>
      <x:c r="E10" s="210"/>
      <x:c r="F10" s="210" t="str">
        <x:v>pnpm verify成功。実Supabaseへの接続・RLS実測は設定後に確認</x:v>
      </x:c>
    </x:row>
    <x:row r="11" ht="72" customHeight="1">
      <x:c r="A11" s="208" t="n">
        <x:v>46259</x:v>
      </x:c>
      <x:c r="B11" s="207" t="str">
        <x:v>品質改善・進捗管理</x:v>
      </x:c>
      <x:c r="C11" s="207" t="str">
        <x:v>全体工程を再レビューし、DB定義一本化、Data API権限、RLSテスト、原子的提出、認証復旧、保存競合対策を修正。開発者の日次活動管理を廃止</x:v>
      </x:c>
      <x:c r="D11" s="207" t="str">
        <x:v>ENV-007〜008 / AUTH-003〜004・007 / DB-001〜005・007 / APP-011 / QA-001・007</x:v>
      </x:c>
      <x:c r="E11" s="207"/>
      <x:c r="F11" s="207" t="str">
        <x:v>pnpm verify成功（4ファイル・10テスト）。実Supabase適用・実メール・2ユーザーRLS・E2Eは次工程</x:v>
      </x:c>
    </x:row>
    <x:row r="12" ht="72" customHeight="1">
      <x:c r="A12" s="212" t="n">
        <x:v>46259</x:v>
      </x:c>
      <x:c r="B12" s="211" t="str">
        <x:v>反復学習・進級</x:v>
      </x:c>
      <x:c r="C12" s="211" t="str">
        <x:v>各段階10問・合計130問、履歴による重複回避、連続合格進級、学習者の必要回数設定、旧データ移行、DB原子更新を実装</x:v>
      </x:c>
      <x:c r="D12" s="211" t="str">
        <x:v>CUR-007 / APP-012 / DB-008 / QA-008ほか</x:v>
      </x:c>
      <x:c r="E12" s="211"/>
      <x:c r="F12" s="211" t="str">
        <x:v>PUBLIC環境変数の名称不一致も修正。pnpm verifyとローカルブラウザ確認成功。実Supabase適用・RLS実測は次工程</x:v>
      </x:c>
    </x:row>
    <x:row r="13" ht="72" customHeight="1">
      <x:c r="A13" s="212" t="n">
        <x:v>46259</x:v>
      </x:c>
      <x:c r="B13" s="211" t="str">
        <x:v>動的出題・段階往復</x:v>
      </x:c>
      <x:c r="C13" s="211" t="str">
        <x:v>固定問題数を廃止し、4軸の特徴ベクトルと問題指紋による類似回避、時間幅による継続生成、表示時履歴、到達済み段階への再移動、旧データ移行を実装</x:v>
      </x:c>
      <x:c r="D13" s="211" t="str">
        <x:v>APP-013〜014 / DB-009 / QA-009ほか</x:v>
      </x:c>
      <x:c r="E13" s="211"/>
      <x:c r="F13" s="211" t="str">
        <x:v>pnpm verify成功（5ファイル・24テスト）。ローカルブラウザ確認成功。実Supabase適用・RLS実測は次工程</x:v>
      </x:c>
    </x:row>
    <x:row r="14" ht="66" customHeight="1">
      <x:c r="A14" s="213" t="n">
        <x:v>46260</x:v>
      </x:c>
      <x:c r="B14" s="211" t="str">
        <x:v>品質レビュー・Supabase準備</x:v>
      </x:c>
      <x:c r="C14" s="211" t="str">
        <x:v>動的出題・段階往復を再レビューし、複数タブの問題発行競合、同一問題の別送信IDによる二重進級、提出後の再送導線を修正。Supabase Data APIで初期テーブル未適用を確認</x:v>
      </x:c>
      <x:c r="D14" s="211" t="str">
        <x:v>APP-012 / DB-001・003〜005・008〜009 / QA-001・008〜009</x:v>
      </x:c>
      <x:c r="E14" s="211"/>
      <x:c r="F14" s="211" t="str">
        <x:v>pnpm verify成功（5ファイル・26テスト）、ローカル画面確認成功。Supabaseログイン後に初期SQL適用・実DB/RLS検証を継続</x:v>
      </x:c>
    </x:row>
    <x:row r="15" ht="56" customHeight="1">
      <x:c r="A15" s="92" t="n">
        <x:v>46260</x:v>
      </x:c>
      <x:c r="B15" t="str">
        <x:v>適応出題・自然文生成</x:v>
      </x:c>
      <x:c r="C15" s="211" t="str">
        <x:v>13段階を再確認し、固定テンプレート直積を廃止。技能別学習履歴から出題条件を選び、問題バンクとClaude生成を併用する最終設計を確定</x:v>
      </x:c>
      <x:c r="D15" s="211" t="str">
        <x:v>CUR-008 / APP-013・015 / DB-001・009〜010 / AI-008 / QA-009〜010</x:v>
      </x:c>
      <x:c r="E15" s="211"/>
      <x:c r="F15" s="211" t="str">
        <x:v>architecture.mdを更新。旧4軸初期SQLは未実行のまま改訂後に適用する</x:v>
      </x:c>
    </x:row>
    <x:row r="16" ht="58" customHeight="1">
      <x:c r="A16" s="228" t="n">
        <x:v>46260</x:v>
      </x:c>
      <x:c r="B16" s="221" t="str">
        <x:v>適応出題・コスト制御実装</x:v>
      </x:c>
      <x:c r="C16" s="222" t="str">
        <x:v>段階別特徴署名、技能習熟度、50/30/20適応選択、共有問題バンク優先、AI予算判定、利用量保存、原子的DB更新とRLSを実装。初回合格の苦手誤判定と問題ID復元を修正</x:v>
      </x:c>
      <x:c r="D16" s="221" t="str">
        <x:v>CUR-008 / APP-013・015 / DB-009〜010 / AI-008〜009 / QA-009〜010</x:v>
      </x:c>
      <x:c r="E16" s="221"/>
      <x:c r="F16" s="223" t="str">
        <x:v>pnpm verify成功（7ファイル・49テスト、型0警告、製品ビルド成功）。SQLの実Supabase適用は次工程</x:v>
      </x:c>
    </x:row>
    <x:row r="17" ht="62" customHeight="1">
      <x:c r="A17" s="229" t="n">
        <x:v>46260</x:v>
      </x:c>
      <x:c r="B17" s="225" t="str">
        <x:v>AI上限の暫定化・最終確認ゲート</x:v>
      </x:c>
      <x:c r="C17" s="226" t="str">
        <x:v>問題生成・添削の現行トークン値を暫定ガードと明記。コードとDBへprovisional状態を追加し、最終テストで所有者へ本番AI上限を確認する完了条件を設定</x:v>
      </x:c>
      <x:c r="D17" s="225" t="str">
        <x:v>AI-009 / QA-010</x:v>
      </x:c>
      <x:c r="E17" s="225"/>
      <x:c r="F17" s="226" t="str">
        <x:v>pnpm verify成功（7ファイル・50テスト、型0警告、製品ビルド成功）。所有者承認前はAI上限の最終テストを完了扱いにしない</x:v>
      </x:c>
    </x:row>
    <x:row r="18" ht="76" customHeight="1">
      <x:c r="A18" s="213" t="n">
        <x:v>46260</x:v>
      </x:c>
      <x:c r="B18" s="211" t="str">
        <x:v>Supabase CLI・migration・RLS実測</x:v>
      </x:c>
      <x:c r="C18" s="211" t="str">
        <x:v>Supabase CLI 2.115.0をローカル依存へ固定し、開発DBへ初期・セキュリティ強化migrationを適用。17テーブル、全RLS、3 RPCと2ユーザー分離・進級・段階復帰・冪等性を検証</x:v>
      </x:c>
      <x:c r="D18" s="211" t="str">
        <x:v>AUTH-007 / DB-001〜004・008〜010 / QA-007〜010</x:v>
      </x:c>
      <x:c r="E18" s="211"/>
      <x:c r="F18" s="211" t="str">
        <x:v>pnpm verify成功（7ファイル・50テスト、型0警告、製品ビルド成功）。RLSデータはrollback済み。security advisorは意図した認証済みRPC 4件、DB lintは既存remote関数の未使用変数2件だけ</x:v>
      </x:c>
    </x:row>
    <x:row r="19" ht="76" customHeight="1">
      <x:c r="A19" s="213" t="n">
        <x:v>46261</x:v>
      </x:c>
      <x:c r="B19" s="211" t="str">
        <x:v>Supabase運用マニュアル</x:v>
      </x:c>
      <x:c r="C19" s="211" t="str">
        <x:v>Dashboardでのテーブル・ユーザー・RLS確認、読み取りSQL、CLI migration、RLSテスト、セキュリティ診断、実ユーザー確認、秘密情報、トラブル対応を個人用Markdownへ一元化</x:v>
      </x:c>
      <x:c r="D19" s="211" t="str">
        <x:v>DB-003〜005 / QA-003・008〜010</x:v>
      </x:c>
      <x:c r="E19" s="211"/>
      <x:c r="F19" s="211" t="str">
        <x:v>ルートのSupabase操作マニュアル.mdへ保存し、個人用資料として.gitignore対象に設定。設計・migration・接続手順は引き続き各正本で管理</x:v>
      </x:c>
    </x:row>
    <x:row r="20" ht="92" customHeight="1">
      <x:c r="A20" s="230" t="n">
        <x:v>46261</x:v>
      </x:c>
      <x:c r="B20" s="224" t="str">
        <x:v>再提出・進級ループ・画面改善</x:v>
      </x:c>
      <x:c r="C20" s="224" t="str">
        <x:v>要修正答案の修正・再提出、問題切替時の表示リセット、通常訓練→進級テスト→再訓練→再受験、3種類の回数設定、ホーム・課題・アカウント画面の文言とアイコンを実装</x:v>
      </x:c>
      <x:c r="D20" s="224" t="str">
        <x:v>APP-003〜004・007〜008・012・014 / DB-008 / QA-008〜009</x:v>
      </x:c>
      <x:c r="E20" s="224"/>
      <x:c r="F20" s="224" t="str">
        <x:v>開発DBへmigration適用、2ユーザーRLS/RPC実測成功。pnpm verify成功（7ファイル・53テスト、型0警告、製品ビルド成功）</x:v>
      </x:c>
    </x:row>
    <x:row r="21" ht="78" customHeight="1">
      <x:c r="A21" s="230" t="n">
        <x:v>46261</x:v>
      </x:c>
      <x:c r="B21" s="224" t="str">
        <x:v>活動グリッド表示修正</x:v>
      </x:c>
      <x:c r="C21" s="224" t="str">
        <x:v>DB上の提出3件と日時を確認。狭幅画面で1月位置が初期表示され、8月の活動マスが横スクロール外に隠れる問題を修正し、最新活動週を自動表示</x:v>
      </x:c>
      <x:c r="D21" s="224" t="str">
        <x:v>APP-011 / QA-007</x:v>
      </x:c>
      <x:c r="E21" s="224"/>
      <x:c r="F21" s="224" t="str">
        <x:v>pnpm check成功、53テスト成功。提出データの削除・変更なし</x:v>
      </x:c>
    </x:row>
    <x:row r="22" ht="84" customHeight="1">
      <x:c r="A22" s="230" t="n">
        <x:v>46262</x:v>
      </x:c>
      <x:c r="B22" s="224" t="str">
        <x:v>課題文・段階別添削・結果表示改善</x:v>
      </x:c>
      <x:c r="C22" s="224" t="str">
        <x:v>課題本文と評価上の注意を分離し、文字数による一律判定を廃止。13段階のClaude添削指示と、合格/要修正・残り合格数の提出後表示を実装</x:v>
      </x:c>
      <x:c r="D22" s="224" t="str">
        <x:v>APP-003・007 / CUR-007 / AI-002・005 / QA-010</x:v>
      </x:c>
      <x:c r="E22" s="224"/>
      <x:c r="F22" s="224" t="str">
        <x:v>pnpm verify成功（8ファイル・58テスト、型0警告、製品ビルド成功）。発行済み旧問題も表示時に修正。Claude API接続と実品質評価は次工程</x:v>
      </x:c>
    </x:row>
    <x:row r="23" ht="66" customHeight="1">
      <x:c r="A23" s="213" t="n">
        <x:v>46262</x:v>
      </x:c>
      <x:c r="B23" s="211" t="str">
        <x:v>提出後通知の文字サイズ調整</x:v>
      </x:c>
      <x:c r="C23" s="211" t="str">
        <x:v>課題画面の合格/要修正・残り合格数通知だけを14pxに調整し、他の通知表示には影響しない専用クラスを追加</x:v>
      </x:c>
      <x:c r="D23" s="211" t="str">
        <x:v>APP-007</x:v>
      </x:c>
      <x:c r="E23" s="211"/>
      <x:c r="F23" s="211" t="str">
        <x:v>pnpm verify成功（8ファイル・58テスト、型0警告、製品ビルド成功）</x:v>
      </x:c>
    </x:row>
    <x:row r="24" ht="72" customHeight="1">
      <x:c r="A24" s="213" t="n">
        <x:v>46262</x:v>
      </x:c>
      <x:c r="B24" s="211" t="str">
        <x:v>Supabaseテストデータ初期化</x:v>
      </x:c>
      <x:c r="C24" s="211" t="str">
        <x:v>開発DBのテスト結果を対象ユーザーIDで限定して削除。提出9件、添削9件、技能判定18件、問題履歴7件、技能統計2件を0件にし、学習進捗と3種類の設定を初期値へ復元</x:v>
      </x:c>
      <x:c r="D24" s="211" t="str">
        <x:v>DB-004 / QA-007〜009</x:v>
      </x:c>
      <x:c r="E24" s="211"/>
      <x:c r="F24" s="211" t="str">
        <x:v>削除後の件数をSQLで再確認。ログイン用アカウント1件とプロフィール1件は保持し、同じメールアドレスで再テスト可能</x:v>
      </x:c>
    </x:row>
    <x:row r="25" ht="78" customHeight="1">
      <x:c r="A25" s="213" t="n">
        <x:v>46262</x:v>
      </x:c>
      <x:c r="B25" s="211" t="str">
        <x:v>進級テスト累積合格・専用画面</x:v>
      </x:c>
      <x:c r="C25" s="211" t="str">
        <x:v>課題タイトル下の定型説明とフッター文言を削除。通常トレーニング10問・進級テスト3問の合格数表示、専用画面、不合格時に合格数を保持して別問題へ進む非連続累積合格方式を実装</x:v>
      </x:c>
      <x:c r="D25" s="211" t="str">
        <x:v>APP-003・007〜008・012 / CUR-008 / DB-008 / QA-008〜010</x:v>
      </x:c>
      <x:c r="E25" s="211"/>
      <x:c r="F25" s="211" t="str">
        <x:v>pnpm verify成功（8ファイル・59テスト、型0警告、製品ビルド成功）。開発DBへmigration適用、2ユーザーRLS/RPC回帰テスト成功</x:v>
      </x:c>
    </x:row>
    <x:row r="26" ht="66" customHeight="1">
      <x:c r="A26" s="213" t="n">
        <x:v>46262</x:v>
      </x:c>
      <x:c r="B26" s="211" t="str">
        <x:v>トレーニング状況表示の簡素化</x:v>
      </x:c>
      <x:c r="C26" s="211" t="str">
        <x:v>トレーニング状況パネルから説明文を削除し、「トレーニング」と「現在合格数/必要合格数」だけを表示</x:v>
      </x:c>
      <x:c r="D26" s="211" t="str">
        <x:v>APP-003・APP-007</x:v>
      </x:c>
      <x:c r="E26" s="211"/>
      <x:c r="F26" s="211" t="str">
        <x:v>pnpm verify成功（8ファイル・59テスト、型0警告、製品ビルド成功）</x:v>
      </x:c>
    </x:row>
    <x:row r="27" ht="66" customHeight="1">
      <x:c r="A27" s="213" t="n">
        <x:v>46262</x:v>
      </x:c>
      <x:c r="B27" s="211" t="str">
        <x:v>トレーニング状況表示の配置調整</x:v>
      </x:c>
      <x:c r="C27" s="211" t="str">
        <x:v>トレーニングと現在合格数を一つの見出しにまとめ、実数をその下へ左寄せで表示。状況パネルを内容に合う幅と余白へ調整</x:v>
      </x:c>
      <x:c r="D27" s="211" t="str">
        <x:v>APP-003・APP-007</x:v>
      </x:c>
      <x:c r="E27" s="211"/>
      <x:c r="F27" s="211" t="str">
        <x:v>pnpm check・test成功（8ファイル・59テスト、型0警告）</x:v>
      </x:c>
    </x:row>
    <x:row r="28" ht="78" customHeight="1">
      <x:c r="A28" s="213" t="n">
        <x:v>46262</x:v>
      </x:c>
      <x:c r="B28" s="211" t="str">
        <x:v>段階別学習指示の表示復帰</x:v>
      </x:c>
      <x:c r="C28" s="211" t="str">
        <x:v>通常トレーニングの状況パネルを全幅へ戻し、段階ごとの「生徒が行うこと」を左側に表示。右端に現在合格数と必要合格数を表示し、「トレーニング」の文言を削除</x:v>
      </x:c>
      <x:c r="D28" s="211" t="str">
        <x:v>APP-003・APP-007</x:v>
      </x:c>
      <x:c r="E28" s="211"/>
      <x:c r="F28" s="211" t="str">
        <x:v>pnpm check・test成功（8ファイル・59テスト、型0警告）</x:v>
      </x:c>
    </x:row>
    <x:row r="29" ht="84" customHeight="1">
      <x:c r="A29" s="213" t="n">
        <x:v>46262</x:v>
      </x:c>
      <x:c r="B29" s="211" t="str">
        <x:v>合格結果画面・固定解答例の改善</x:v>
      </x:c>
      <x:c r="C29" s="211" t="str">
        <x:v>進級テスト文言を変更。通常・テスト合格時は入力カードを非表示にし、結果内へ課題・提出解答・詳しいコメント・合格根拠・次問ボタンを集約。段階1〜6だけ固定解答例を表示</x:v>
      </x:c>
      <x:c r="D29" s="211" t="str">
        <x:v>APP-003・007 / CUR-008 / AI-002・005 / QA-010</x:v>
      </x:c>
      <x:c r="E29" s="211"/>
      <x:c r="F29" s="211" t="str">
        <x:v>pnpm verify成功（8ファイル・60テスト、型0警告、製品ビルド成功）。解答例は段階7以降と進級テストで非表示</x:v>
      </x:c>
    </x:row>
    <x:row r="30" ht="66" customHeight="1">
      <x:c r="A30" s="213" t="n">
        <x:v>46262</x:v>
      </x:c>
      <x:c r="B30" s="211" t="str">
        <x:v>進級テスト案内文の改善</x:v>
      </x:c>
      <x:c r="C30" s="211" t="str">
        <x:v>通常トレーニング合格後の残り合格数を、「あと◯問の合格で進級テストにチャレンジできます。」と表示するよう変更</x:v>
      </x:c>
      <x:c r="D30" s="211" t="str">
        <x:v>APP-007</x:v>
      </x:c>
      <x:c r="E30" s="211"/>
      <x:c r="F30" s="211" t="str">
        <x:v>pnpm check・test成功（8ファイル・60テスト、型0警告）</x:v>
      </x:c>
    </x:row>
    <x:row r="31" ht="78" customHeight="1">
      <x:c r="A31" s="213" t="n">
        <x:v>46262</x:v>
      </x:c>
      <x:c r="B31" s="211" t="str">
        <x:v>ヒント直下の解答例・解説</x:v>
      </x:c>
      <x:c r="C31" s="211" t="str">
        <x:v>段階1〜6で、課題カードのヒント直下に固定解答例と「ポイント」を表示。例文中の語句・構成がヒントを満たす理由を分かりやすく説明</x:v>
      </x:c>
      <x:c r="D31" s="211" t="str">
        <x:v>APP-003 / CUR-008 / QA-010</x:v>
      </x:c>
      <x:c r="E31" s="211"/>
      <x:c r="F31" s="211" t="str">
        <x:v>pnpm verify成功（8ファイル・60テスト、型0警告、製品ビルド成功）。段階7以降と進級テストでは非表示</x:v>
      </x:c>
    </x:row>
    <x:row r="32" ht="84" customHeight="1">
      <x:c r="A32" s="213" t="n">
        <x:v>46262</x:v>
      </x:c>
      <x:c r="B32" s="211" t="str">
        <x:v>全段階の学習者向け表現を平易化</x:v>
      </x:c>
      <x:c r="C32" s="211" t="str">
        <x:v>全13段階のヒント・合格の目安・固定解答例の解説・ローカル添削コメントを、具体的に何を書く・移す・置き換えるかが分かる表現へ変更。Claudeにも抽象語だけのコメントを禁止</x:v>
      </x:c>
      <x:c r="D32" s="211" t="str">
        <x:v>APP-003・007 / CUR-008 / AI-002・005 / QA-010</x:v>
      </x:c>
      <x:c r="E32" s="211"/>
      <x:c r="F32" s="211" t="str">
        <x:v>pnpm verify成功（8ファイル・62テスト、型0警告、製品ビルド成功）。旧版の発行済み問題も現在のヒントへ置換する回帰テストを追加</x:v>
      </x:c>
    </x:row>
    <x:row r="33" ht="84" customHeight="1">
      <x:c r="A33" s="213" t="n">
        <x:v>46263</x:v>
      </x:c>
      <x:c r="B33" s="211" t="str">
        <x:v>全段階のヒント文体を統一</x:v>
      </x:c>
      <x:c r="C33" s="211" t="str">
        <x:v>段階2を指定文へ変更し、その文章レベルを基準に全13段階のヒントを原則二文で統一。専門用語には例を添え、ローカル派生問題の追加説明を廃止。旧版発行済み問題も現行ヒントへ置換</x:v>
      </x:c>
      <x:c r="D33" s="211" t="str">
        <x:v>APP-003 / CUR-007〜008 / QA-009〜010</x:v>
      </x:c>
      <x:c r="E33" s="211"/>
      <x:c r="F33" s="211" t="str">
        <x:v>pnpm verify成功（8ファイル・63テスト、型0警告、製品ビルド成功）。段階2の全問題が指定文と完全一致する回帰テストを追加</x:v>
      </x:c>
    </x:row>
    <x:row r="34" ht="66" customHeight="1">
      <x:c r="A34" s="213" t="n">
        <x:v>46263</x:v>
      </x:c>
      <x:c r="B34" s="211" t="str">
        <x:v>解答例の解説見出しを確定</x:v>
      </x:c>
      <x:c r="C34" s="211" t="str">
        <x:v>段階1〜6の固定解答例で、ヒントの説明に使う見出しを「ヒントとのつながり」から「ポイント」へ変更</x:v>
      </x:c>
      <x:c r="D34" s="211" t="str">
        <x:v>APP-003 / CUR-008</x:v>
      </x:c>
      <x:c r="E34" s="211"/>
      <x:c r="F34" s="211" t="str">
        <x:v>画面表示・設計書・進捗管理の表記を一致させる</x:v>
      </x:c>
    </x:row>
    <x:row r="35" ht="78" customHeight="1">
      <x:c r="A35" s="213" t="n">
        <x:v>46263</x:v>
      </x:c>
      <x:c r="B35" s="211" t="str">
        <x:v>提出履歴の学習種別・判定表示</x:v>
      </x:c>
      <x:c r="C35" s="211" t="str">
        <x:v>各履歴のSTEP横に提出時の「トレーニング」または「進級テスト」を表示。通常トレーニングの未合格は「要修正」、進級テストの未合格は「不合格」と表示するよう変更</x:v>
      </x:c>
      <x:c r="D35" s="211" t="str">
        <x:v>APP-008 / QA-010</x:v>
      </x:c>
      <x:c r="E35" s="211"/>
      <x:c r="F35" s="211" t="str">
        <x:v>pnpm verify成功（8ファイル・64テスト、型0警告、製品ビルド成功）。旧retraining履歴はトレーニングとして表示</x:v>
      </x:c>
    </x:row>
    <x:row r="36" ht="78" customHeight="1">
      <x:c r="A36" s="213" t="n">
        <x:v>46263</x:v>
      </x:c>
      <x:c r="B36" s="211" t="str">
        <x:v>履歴・課題トップの表示整理</x:v>
      </x:c>
      <x:c r="C36" s="211" t="str">
        <x:v>履歴の戻るボタンを「課題トップ画面へ」に変更。課題トップは到達済みを「完了」、未到達を「未完了」とし、学習中を薄いオレンジ色で表示。「問題数に上限なし」を削除</x:v>
      </x:c>
      <x:c r="D36" s="211" t="str">
        <x:v>APP-005・008 / QA-010</x:v>
      </x:c>
      <x:c r="E36" s="211"/>
      <x:c r="F36" s="211" t="str">
        <x:v>pnpm verify成功（9ファイル・65テスト、型0警告、製品ビルド成功）。固定表示の回帰テストを追加</x:v>
      </x:c>
    </x:row>
    <x:row r="37">
      <x:c r="A37" s="55" t="n">
        <x:v>46267</x:v>
      </x:c>
      <x:c r="B37" t="str">
        <x:v>カリキュラム・学習機能・DB</x:v>
      </x:c>
      <x:c r="C37" t="str">
        <x:v>全14段階へ再編。段階1を5問1セットの全問正解方式とし、全問解説・不合格後の新セット移動を実装。段階7を段落分析・修正の複合課題へ強化</x:v>
      </x:c>
      <x:c r="D37" t="str">
        <x:v>CUR-007〜009 / APP-012〜016 / DB-008・011 / QA-008〜011</x:v>
      </x:c>
      <x:c r="E37"/>
      <x:c r="F37" t="str">
        <x:v>pnpm verify成功（9ファイル・67テスト、型0警告、製品ビルド成功）。開発DBへ3 migration適用、段階1の5技能保存を含むロールバック式RLS/RPCテスト成功</x:v>
      </x:c>
    </x:row>
    <x:row r="38">
      <x:c r="A38" t="n">
        <x:v>46267</x:v>
      </x:c>
      <x:c r="B38" t="str">
        <x:v>課題文改善</x:v>
      </x:c>
      <x:c r="C38" t="str">
        <x:v>STEP3を二文のまま書く課題であると明記し、二文目の冒頭へ関係を示す言葉を加える指示に統一。ヒントと固定解答例を修正し、発行済み旧問題も表示時に更新</x:v>
      </x:c>
      <x:c r="D38" t="str">
        <x:v>CUR-010 / APP-003 / QA-001</x:v>
      </x:c>
      <x:c r="E38"/>
      <x:c r="F38" t="str">
        <x:v>pnpm verify成功（9ファイル・69テスト、型0警告、製品ビルド成功）</x:v>
      </x:c>
    </x:row>
    <x:row r="39">
      <x:c r="A39" s="55" t="n">
        <x:v>46268</x:v>
      </x:c>
      <x:c r="B39" t="str">
        <x:v>課題文・日本語改善</x:v>
      </x:c>
      <x:c r="C39" t="str">
        <x:v>STEP2を二つの内容が明確に区切られた一文化課題へ修正。STEP3との違いを課題文・ヒント・解答例へ統一し、STEP4〜14も学習者が行う操作と出力形式を判断しやすい日本語へ整理</x:v>
      </x:c>
      <x:c r="D39" t="str">
        <x:v>CUR-011 / APP-003 / QA-001</x:v>
      </x:c>
      <x:c r="E39"/>
      <x:c r="F39" t="str">
        <x:v>pnpm verify成功（9ファイル・71テスト、型0警告、Cloudflare製品ビルド成功）。現在の問題・添削は実行時に外部生成AIを呼ばない</x:v>
      </x:c>
    </x:row>
    <x:row r="40">
      <x:c r="A40" s="55" t="n">
        <x:v>46268</x:v>
      </x:c>
      <x:c r="B40" t="str">
        <x:v>Cloudflare検証環境準備</x:v>
      </x:c>
      <x:c r="C40" t="str">
        <x:v>SvelteKit公式CloudflareアダプターとWranglerをweb内へ固定し、Cloudflare Workersへessay-training-stagingを公開</x:v>
      </x:c>
      <x:c r="D40" t="str">
        <x:v>OPS-001 / OPS-002 / QA-001</x:v>
      </x:c>
      <x:c r="E40"/>
      <x:c r="F40" t="str">
        <x:v>公開URLの/、/tasks、/manifest.webmanifest、/service-worker.jsがHTTP 200。次はSupabase Authの許可URL登録と認証済みE2E</x:v>
      </x:c>
    </x:row>
    <x:row r="41">
      <x:c r="A41" s="55" t="n">
        <x:v>46268</x:v>
      </x:c>
      <x:c r="B41" t="str">
        <x:v>Cloudflareサブドメイン変更</x:v>
      </x:c>
      <x:c r="C41" t="str">
        <x:v>アカウント共通のworkers.devサブドメインを自動生成名pot-3823からlanguage-trainingへ変更し、検証URLと手順書を更新</x:v>
      </x:c>
      <x:c r="D41" t="str">
        <x:v>OPS-002</x:v>
      </x:c>
      <x:c r="E41"/>
      <x:c r="F41" t="str">
        <x:v>新URLの/と/tasksがHTTP 200。旧pot-3823 URLは名前解決されず無効。次はSupabase Authへ新URLを登録</x:v>
      </x:c>
    </x:row>
    <x:row r="42">
      <x:c r="A42" t="n">
        <x:v>46268</x:v>
      </x:c>
      <x:c r="B42" t="str">
        <x:v>初回認証画面・Cloudflare公開</x:v>
      </x:c>
      <x:c r="C42" t="str">
        <x:v>独立した/loginへログイン・新規登録の併用画面を追加。未ログイン時の自動案内、ログイン後のホーム移動、パスワード再設定導線を実装し、Supabase接続情報をWorker secretへ登録して再公開</x:v>
      </x:c>
      <x:c r="D42" t="str">
        <x:v>AUTH-004・005 / OPS-002・003 / ENV-007 / QA-001</x:v>
      </x:c>
      <x:c r="E42"/>
      <x:c r="F42" t="str">
        <x:v>pnpm verify成功（10ファイル・75テスト、型0警告、Cloudflare製品ビルド成功）。公開URLの/loginと/がHTTP 200。次はSupabase Authの許可URL登録と実メールE2E</x:v>
      </x:c>
    </x:row>
    <x:row r="43">
      <x:c r="A43" t="n">
        <x:v>46268</x:v>
      </x:c>
      <x:c r="B43" t="str">
        <x:v>確認メール送信後の画面整理</x:v>
      </x:c>
      <x:c r="C43" t="str">
        <x:v>新規登録成功後は登録フォームと「アカウントを登録する」ボタンを隠し、確認メールの送信先、登録完了までの手順、ログイン画面へ戻る操作だけを示す専用表示へ切り替え</x:v>
      </x:c>
      <x:c r="D43" t="str">
        <x:v>AUTH-004 / OPS-002 / ENV-007 / QA-001</x:v>
      </x:c>
      <x:c r="E43"/>
      <x:c r="F43" t="str">
        <x:v>pnpm verify成功（10ファイル・76テスト、型0警告、Cloudflare製品ビルド成功）。Cloudflareへ再公開し/loginがHTTP 200</x:v>
      </x:c>
    </x:row>
    <x:row r="44">
      <x:c r="A44" t="n">
        <x:v>46268</x:v>
      </x:c>
      <x:c r="B44" t="str">
        <x:v>提出後の結果位置へ自動スクロール</x:v>
      </x:c>
      <x:c r="C44" t="str">
        <x:v>提出保存と結果表示の完了後に、合格・要修正・進級テスト不合格の結果カード先頭を画面上端へ自動スクロール。視差効果を減らす端末設定では即時移動する</x:v>
      </x:c>
      <x:c r="D44" t="str">
        <x:v>APP-007 / OPS-002 / ENV-007 / QA-001</x:v>
      </x:c>
      <x:c r="E44"/>
      <x:c r="F44" t="str">
        <x:v>pnpm verify成功（10ファイル・77テスト、型0警告、Cloudflare製品ビルド成功）。Cloudflare検証環境へ再公開</x:v>
      </x:c>
    </x:row>
    <x:row r="45">
      <x:c r="A45" t="n">
        <x:v>46268</x:v>
      </x:c>
      <x:c r="B45" t="str">
        <x:v>結果専用画面と上端移動の修正</x:v>
      </x:c>
      <x:c r="C45" t="str">
        <x:v>短い不合格結果ではスクロール可能距離が足りず上端へ揃わない原因を修正。提出後は解答フォームを隠す結果専用画面へ切り替え、結果領域の高さを確保して描画完了後の実座標へ即時移動する</x:v>
      </x:c>
      <x:c r="D45" t="str">
        <x:v>APP-007 / OPS-002 / ENV-007 / QA-001</x:v>
      </x:c>
      <x:c r="E45"/>
      <x:c r="F45" t="str">
        <x:v>pnpm verify成功（10ファイル・77テスト、型0警告、Cloudflare製品ビルド成功）。Cloudflare検証環境へ修正版を再公開</x:v>
      </x:c>
    </x:row>
    <x:row r="46">
      <x:c r="A46" s="55" t="n">
        <x:v>46268</x:v>
      </x:c>
      <x:c r="B46" t="str">
        <x:v>STEP 1提出履歴の全問解説表示</x:v>
      </x:c>
      <x:c r="C46" t="str">
        <x:v>履歴画面が先頭の解説だけを表示していた問題を修正。STEP 1の5問セットは、問題1〜5の正解・不正解と説明を個別カードで省略せず表示する。</x:v>
      </x:c>
      <x:c r="D46" t="str">
        <x:v>APP-008 / QA-001</x:v>
      </x:c>
      <x:c r="E46"/>
      <x:c r="F46" t="str">
        <x:v>77テスト成功、Svelte型検査0エラー・0警告。Cloudflare製品ビルド成功後に検証環境へ反映</x:v>
      </x:c>
    </x:row>
    <x:row r="47">
      <x:c r="A47" s="55" t="n">
        <x:v>46268</x:v>
      </x:c>
      <x:c r="B47" t="str">
        <x:v>STEP 1履歴の問題・解答・解説対応表示</x:v>
      </x:c>
      <x:c r="C47" t="str">
        <x:v>履歴内で5問それぞれの指示・問題文・学習者の解答・正誤・解説を一まとまりに表示。新規提出時は問題文も添削結果へ保存し、問題バンク変更後も過去の問題を維持する。既存履歴は問題IDから復元する。</x:v>
      </x:c>
      <x:c r="D47" t="str">
        <x:v>APP-008 / OPS-002 / QA-001</x:v>
      </x:c>
      <x:c r="E47"/>
      <x:c r="F47" t="str">
        <x:v>pnpm verify成功（11ファイル・79テスト、型0警告、Cloudflare製品ビルド成功）。Cloudflare検証環境へ公開</x:v>
      </x:c>
    </x:row>
    <x:row r="48">
      <x:c r="A48" s="55" t="n">
        <x:v>46268</x:v>
      </x:c>
      <x:c r="B48" t="str">
        <x:v>STEP 1履歴の問題表示拡大</x:v>
      </x:c>
      <x:c r="C48" t="str">
        <x:v>履歴内の「問題1」などの見出しを18px、実際の問題文を17pxへ拡大。説明文との文字階層を明確にし、余白もわずかに調整した。</x:v>
      </x:c>
      <x:c r="D48" t="str">
        <x:v>APP-008 / OPS-002 / QA-001</x:v>
      </x:c>
      <x:c r="E48"/>
      <x:c r="F48" t="str">
        <x:v>pnpm verify成功（11ファイル・79テスト、型0警告、Cloudflare製品ビルド成功）。Cloudflare検証環境へ公開</x:v>
      </x:c>
    </x:row>
    <x:row r="49">
      <x:c r="A49" s="55" t="n">
        <x:v>46268</x:v>
      </x:c>
      <x:c r="B49" t="str">
        <x:v>STEP 1履歴の問題見出しマーカー</x:v>
      </x:c>
      <x:c r="C49" t="str">
        <x:v>履歴内の「問題1」〜「問題5」の見出し直前に、小さな緑色の「■」を追加し、問題ごとの区切りを見つけやすくした。</x:v>
      </x:c>
      <x:c r="D49" t="str">
        <x:v>APP-008 / OPS-002 / QA-001</x:v>
      </x:c>
      <x:c r="E49"/>
      <x:c r="F49" t="str">
        <x:v>pnpm verify成功（11ファイル・79テスト、型0警告、Cloudflare製品ビルド成功）。Cloudflare検証環境へ公開</x:v>
      </x:c>
    </x:row>
    <x:row r="50">
      <x:c r="A50" s="55" t="n">
        <x:v>46268</x:v>
      </x:c>
      <x:c r="B50" t="str">
        <x:v>STEP 1履歴の問題見出し縦線</x:v>
      </x:c>
      <x:c r="C50" t="str">
        <x:v>文字記号の「■」は縦位置がずれるため削除し、「問題1」〜「問題5」の見出し左側にCSSで緑色の縦線を描く表示へ変更した。</x:v>
      </x:c>
      <x:c r="D50" t="str">
        <x:v>APP-008 / OPS-002 / QA-001</x:v>
      </x:c>
      <x:c r="E50"/>
      <x:c r="F50" t="str">
        <x:v>pnpm verify成功（11ファイル・79テスト、型0警告、Cloudflare製品ビルド成功）。Cloudflare検証環境へ公開</x:v>
      </x:c>
    </x:row>
    <x:row r="51">
      <x:c r="A51" s="55" t="n">
        <x:v>46268</x:v>
      </x:c>
      <x:c r="B51" t="str">
        <x:v>課題ページの内部処理説明を削除</x:v>
      </x:c>
      <x:c r="C51" t="str">
        <x:v>課題ページから「同じ問題の偏りを防ぐため、提出履歴から別の問題を選んでいます。」の表示を削除。問題選択処理そのものは変更していない。</x:v>
      </x:c>
      <x:c r="D51" t="str">
        <x:v>APP-003 / OPS-002 / QA-001</x:v>
      </x:c>
      <x:c r="E51"/>
      <x:c r="F51" t="str">
        <x:v>pnpm verify成功（11ファイル・80テスト、型0警告、Cloudflare製品ビルド成功）。Cloudflare検証環境へ公開</x:v>
      </x:c>
    </x:row>
    <x:row r="52">
      <x:c r="A52" s="55" t="n">
        <x:v>46269</x:v>
      </x:c>
      <x:c r="B52" t="str">
        <x:v>段階1のセット番号表示を削除</x:v>
      </x:c>
      <x:c r="C52" t="str">
        <x:v>課題画面から「（セット238）」のような内部管理番号を削除。旧発行済み問題の表示も整形し、番号を隠しても内部特徴により別の5問セットを選べるようにした。</x:v>
      </x:c>
      <x:c r="D52" t="str">
        <x:v>APP-013 / QA-001・008 / OPS-002</x:v>
      </x:c>
      <x:c r="E52"/>
      <x:c r="F52" t="str">
        <x:v>pnpm verify成功（11ファイル・81テスト、型0警告、Cloudflare製品ビルド成功）。Cloudflare検証環境へ公開</x:v>
      </x:c>
    </x:row>
    <x:row r="53">
      <x:c r="A53" s="55" t="n">
        <x:v>46269</x:v>
      </x:c>
      <x:c r="B53" t="str">
        <x:v>要修正後の入力可否と画面遷移を修正</x:v>
      </x:c>
      <x:c r="C53" t="str">
        <x:v>認証・DB保存・ユーザー分離のオンライン確認完了を反映。要修正後は未完了の発行済み問題を根拠に入力可能とし、修正画面で入力欄へフォーカスする。段階1、通常トレーニング、進級テスト、全課程修了の結果後遷移も統一した。</x:v>
      </x:c>
      <x:c r="D53" t="str">
        <x:v>APP-007 / AUTH-004 / DB-005 / OPS-002 / QA-001・003</x:v>
      </x:c>
      <x:c r="E53"/>
      <x:c r="F53" t="str">
        <x:v>12ファイル85テスト成功、Svelte型検査0エラー・0警告、Cloudflare製品ビルド成功。検証環境Version 40423fb0-4d84-4cdc-8bf7-acd2ed9f6a74へ公開</x:v>
      </x:c>
    </x:row>
    <x:row r="54">
      <x:c r="A54" s="55" t="n">
        <x:v>46269</x:v>
      </x:c>
      <x:c r="B54" t="str">
        <x:v>課題読込エラーの診断表示を追加</x:v>
      </x:c>
      <x:c r="C54" t="str">
        <x:v>SupabaseのDB整合性を個人情報なしの集計で確認し、欠落・形式不正・重複・孤立データが0件であることを確認。課題初期化の共通エラーを読込項目別と問題発行に分け、安全なエラーコードと画面内の再試行ボタンを表示するよう変更した。</x:v>
      </x:c>
      <x:c r="D54" t="str">
        <x:v>APP-007 / OPS-002 / QA-001</x:v>
      </x:c>
      <x:c r="E54"/>
      <x:c r="F54" t="str">
        <x:v>13ファイル88テスト成功、Svelte型検査0エラー・0警告、Cloudflare製品ビルド成功。検証環境Version 3297fd80-7560-4643-a698-684890da3a31へ公開</x:v>
      </x:c>
    </x:row>
    <x:row r="55">
      <x:c r="A55" s="55" t="n">
        <x:v>46269</x:v>
      </x:c>
      <x:c r="B55" t="str">
        <x:v>問題発行の23505競合を修正</x:v>
      </x:c>
      <x:c r="C55" t="str">
        <x:v>23505は課題初期化の同時実行が未完了問題の一意制約へ競合したことが原因。issue_problemを全一意制約で冪等化し、ブラウザ内の同一ユーザー・段階の発行要求も共有。既存履歴を削除せず修正した。</x:v>
      </x:c>
      <x:c r="D55" t="str">
        <x:v>APP-007 / DB-003 / OPS-002 / QA-001</x:v>
      </x:c>
      <x:c r="E55"/>
      <x:c r="F55" t="str">
        <x:v>13ファイル89テスト成功、型検査0エラー・0警告、Cloudflare製品ビルド成功。migration 202609040001をremote適用・確認。Cloudflare Version 79e467a9-31b4-40b6-bfcf-822bd359aa8bへ公開</x:v>
      </x:c>
    </x:row>
    <x:row r="56">
      <x:c r="A56" s="55" t="n">
        <x:v>46269</x:v>
      </x:c>
      <x:c r="B56" t="str">
        <x:v>STEP 1の問題識別と提出失敗を修正</x:v>
      </x:c>
      <x:c r="C56" t="str">
        <x:v>STEP 1の共通課題文から同じ問題識別値を作っていたため、異なる5問セットが重複扱いとなり、問題履歴未作成のまま提出が拒否されていた。5問の種別・指示・問題文・選択肢から識別値を作り、同一セットだけを重複と判定するよう修正。提出失敗時のエラーコード表示も追加した。</x:v>
      </x:c>
      <x:c r="D56" t="str">
        <x:v>APP-007 / APP-013 / OPS-002 / QA-001・008</x:v>
      </x:c>
      <x:c r="E56"/>
      <x:c r="F56" t="str">
        <x:v>14ファイル92テスト成功、型検査0エラー・0警告、Cloudflare製品ビルド成功。検証環境Version 4eb45d00-e65b-479a-a8fc-62b2f6748963へ公開し、対象URLのHTTP 200を確認</x:v>
      </x:c>
    </x:row>
    <x:row r="57">
      <x:c r="A57" s="55" t="n">
        <x:v>46270</x:v>
      </x:c>
      <x:c r="B57" t="str">
        <x:v>ホーム画面の学習開始ボタンを統一</x:v>
      </x:c>
      <x:c r="C57" t="str">
        <x:v>同じ課題へ移動する「学習を続ける」と「問題を開く」の重複導線を整理。ヒーロー領域のボタンを削除し、「次の問題」欄に「学習を始める」ボタンを一つだけ表示するよう変更した。</x:v>
      </x:c>
      <x:c r="D57" t="str">
        <x:v>APP-004 / OPS-002 / QA-001</x:v>
      </x:c>
      <x:c r="E57"/>
      <x:c r="F57" t="str">
        <x:v>14ファイル93テスト成功、型検査0エラー・0警告、Cloudflare製品ビルド成功。検証環境Version c83cc287-b433-4417-a677-4160a23bd7deへ公開</x:v>
      </x:c>
    </x:row>
    <x:row r="58" ht="180" customHeight="1">
      <x:c r="A58" s="213" t="n">
        <x:v>46270</x:v>
      </x:c>
      <x:c r="B58" s="211" t="str">
        <x:v>レビュー指摘1〜5の順次修正とDB整合性確認</x:v>
      </x:c>
      <x:c r="C58" s="211" t="str">
        <x:v>重複候補の不正発行、保存後の取得失敗、提出中の入力変更、結果の区分表示、修了後再学習を修正。DB関数をmigrationで更新。既存データの削除なし。モック枯渇後の問題補充はClaude接続時に対応。</x:v>
      </x:c>
      <x:c r="D58" s="211" t="str">
        <x:v>APP-007・013 / DB-003〜005 / OPS-002 / QA-001・008</x:v>
      </x:c>
      <x:c r="E58" s="211"/>
      <x:c r="F58" s="211" t="str">
        <x:v>各修正後99→102→104→106→107件成功。型検査・ビルド成功。DB回帰テスト成功、整合性11項目不整合0件。公開Version a41a45ab-b50c-4132-9204-8d93a3e7a246。認証済みブラウザE2Eは未実施。</x:v>
      </x:c>
    </x:row>
    <x:row r="59" ht="160" customHeight="1">
      <x:c r="A59" s="213" t="n">
        <x:v>46270</x:v>
      </x:c>
      <x:c r="B59" s="211" t="str">
        <x:v>STEP 1の解答保持と部分修正</x:v>
      </x:c>
      <x:c r="C59" s="211" t="str">
        <x:v>通常トレーニングの不正解セットを閉じず、正解済みを保持して同じセットへ再提出する方式へ変更。間違えた問題を強調し、再読み込みでも解答を復元。進級テストは一回解答を維持。旧完了セットは再開しない。</x:v>
      </x:c>
      <x:c r="D59" s="211" t="str">
        <x:v>APP-006・007 / DB-003〜005 / OPS-002 / QA-001・008</x:v>
      </x:c>
      <x:c r="E59" s="211"/>
      <x:c r="F59" s="211" t="str">
        <x:v>109テスト・型検査・ビルド成功。隔離ブラウザで4問保持と1問修正、再読み込み、再提出を確認。実DB回帰テスト成功、整合性11項目不整合0件。公開Version b2d2cc37-d8b1-479e-a7a4-e587781ccbbc。</x:v>
      </x:c>
    </x:row>
    <x:row r="60" ht="140" customHeight="1">
      <x:c r="A60" s="213" t="n">
        <x:v>46270</x:v>
      </x:c>
      <x:c r="B60" s="211" t="str">
        <x:v>合否表示とスクロール位置を整理</x:v>
      </x:c>
      <x:c r="C60" s="211" t="str">
        <x:v>提出後は合否と残り合格数を最上部に表示。結果見出しとラベルを整理。修正画面の正解ラベルを短縮し、履歴の不正解を修正画面と同じ色で強調。DB・採点・進捗計算は変更なし。</x:v>
      </x:c>
      <x:c r="D60" s="211" t="str">
        <x:v>APP-007 / OPS-002 / QA-001・008</x:v>
      </x:c>
      <x:c r="E60" s="211"/>
      <x:c r="F60" s="211" t="str">
        <x:v>109テスト・型検査・ビルド成功。PC幅・スマホ幅の隔離ブラウザでスクロール、解答保持、再提出、履歴表示を確認。公開Version b3a91aed-fc86-4444-948e-753eca5be2d9。</x:v>
      </x:c>
    </x:row>
    <x:row r="61" ht="100" customHeight="1">
      <x:c r="A61" s="213" t="n">
        <x:v>46270</x:v>
      </x:c>
      <x:c r="B61" s="211" t="str">
        <x:v>残り問題数の案内文を短縮</x:v>
      </x:c>
      <x:c r="C61" s="211" t="str">
        <x:v>「あとN問の合格で進級テストにチャレンジできます。」を「進級テストまであとN問」に変更。合否表示・進捗計算は維持。</x:v>
      </x:c>
      <x:c r="D61" s="211" t="str">
        <x:v>APP-007 / OPS-002</x:v>
      </x:c>
      <x:c r="E61" s="211"/>
      <x:c r="F61" s="211" t="str">
        <x:v>109テスト・型検査・ビルド成功。公開Version 4ed46378-38d1-4df3-a52c-9c79a50d2124。</x:v>
      </x:c>
    </x:row>
    <x:row r="62" ht="110" customHeight="1">
      <x:c r="A62" s="213" t="n">
        <x:v>46270</x:v>
      </x:c>
      <x:c r="B62" s="211" t="str">
        <x:v>残り問題数の案内から合否の重複を削除</x:v>
      </x:c>
      <x:c r="C62" s="211" t="str">
        <x:v>通常トレーニングの進捗案内を「進級テストまであとN問」に統一し、「要修正。」「合格。」を削除。合否は同じ枠内の大きなラベルで表示するため、判定情報は維持される。</x:v>
      </x:c>
      <x:c r="D62" s="211" t="str">
        <x:v>APP-007 / OPS-002</x:v>
      </x:c>
      <x:c r="E62" s="211"/>
      <x:c r="F62" s="211" t="str">
        <x:v>109テスト・型検査・ビルド成功。公開Version 3ac12f18-d930-4a6c-b22e-ac78e4552f8d。</x:v>
      </x:c>
    </x:row>
    <x:row r="63" ht="115" customHeight="1">
      <x:c r="A63" s="213" t="n">
        <x:v>46270</x:v>
      </x:c>
      <x:c r="B63" s="211" t="str">
        <x:v>進捗・設定の表示名と進級案内を調整</x:v>
      </x:c>
      <x:c r="C63" s="211" t="str">
        <x:v>メインナビゲーションの「進捗」を「進捗・設定」に変更。進級テスト合格後の案内を「段階Nへ進みました。」に変更し、重複する「合格。」を削除。判定ラベルと進捗計算は維持。</x:v>
      </x:c>
      <x:c r="D63" s="211" t="str">
        <x:v>APP-004 / APP-007 / OPS-002</x:v>
      </x:c>
      <x:c r="E63" s="211"/>
      <x:c r="F63" s="211" t="str">
        <x:v>111テスト・型検査・ビルド成功。公開Version 5290a754-d668-46ac-9465-2bdada3cb5b7。</x:v>
      </x:c>
    </x:row>
    <x:row r="64" ht="115" customHeight="1">
      <x:c r="A64" s="213" t="n">
        <x:v>46270</x:v>
      </x:c>
      <x:c r="B64" s="211" t="str">
        <x:v>課題トップの説明と開始ボタンを整理</x:v>
      </x:c>
      <x:c r="C64" s="211" t="str">
        <x:v>現在の課題の説明で、内容①・内容②を改行して読みやすく表示。開始ボタンをカード下部右側へ移し、ラベルが改行しないようにした。学習内容・進捗計算・遷移先は変更なし。</x:v>
      </x:c>
      <x:c r="D64" s="211" t="str">
        <x:v>APP-005 / OPS-002 / QA-001</x:v>
      </x:c>
      <x:c r="E64" s="211"/>
      <x:c r="F64" s="211" t="str">
        <x:v>112テスト・型検査・ビルド成功。公開Version e6bee8be-08c6-432e-89f8-818aa457410f。</x:v>
      </x:c>
    </x:row>
    <x:row r="65" ht="115" customHeight="1">
      <x:c r="A65" s="213" t="n">
        <x:v>46270</x:v>
      </x:c>
      <x:c r="B65" s="211" t="str">
        <x:v>STEP 2課題文の空行を削除</x:v>
      </x:c>
      <x:c r="C65" s="211" t="str">
        <x:v>STEP 2の全問題で、指示文と内容①の間にあった空行を削除。内容①・内容②の改行は維持した。生成元の問題バンク、生成済みカリキュラムJSON、回帰テストを同時に更新。</x:v>
      </x:c>
      <x:c r="D65" s="211" t="str">
        <x:v>APP-005 / CUR-003〜006 / OPS-002 / QA-001</x:v>
      </x:c>
      <x:c r="E65" s="211"/>
      <x:c r="F65" s="211" t="str">
        <x:v>112テスト・型検査・ビルド成功。公開Version d61ec6a6-224f-418b-896c-2f6fc8979793。</x:v>
      </x:c>
    </x:row>
    <x:row r="66" ht="115" customHeight="1">
      <x:c r="A66" s="213" t="n">
        <x:v>46270</x:v>
      </x:c>
      <x:c r="B66" s="211" t="str">
        <x:v>課題トップの開始ボタンを左寄せ</x:v>
      </x:c>
      <x:c r="C66" s="211" t="str">
        <x:v>現在の課題カードの「取り組む」ボタンを、下部右側から下部左側へ移動。ボタンの遷移先、最小幅、ラベル改行防止、課題内容と進捗計算は変更なし。</x:v>
      </x:c>
      <x:c r="D66" s="211" t="str">
        <x:v>APP-005 / OPS-002 / QA-001</x:v>
      </x:c>
      <x:c r="E66" s="211"/>
      <x:c r="F66" s="211" t="str">
        <x:v>112テスト・型検査・ビルド成功。公開Version cda29219-4c38-4c0d-932c-54303f173d02。</x:v>
      </x:c>
    </x:row>
    <x:row r="67" ht="190" customHeight="1">
      <x:c r="A67" s="213" t="n">
        <x:v>46271</x:v>
      </x:c>
      <x:c r="B67" s="211" t="str">
        <x:v>Claude添削のオンライン接続と安全な正式保存</x:v>
      </x:c>
      <x:c r="C67" s="211" t="str">
        <x:v>全14段階のオンライン提出をfeedback Edge Functionへ切替。STEP 1・3・4をHaiku、STEP 2・5〜14をSonnetへ振分。構造化出力と再検証、45秒タイムアウト、日次暫定予算、request_id予約、実測トークン記録を追加。ブラウザからの偽判定保存を禁止した。問題生成・補充は次工程。</x:v>
      </x:c>
      <x:c r="D67" s="211" t="str">
        <x:v>APP-007 / AI-003〜007・009 / DB-010 / OPS-002 / QA-001・010</x:v>
      </x:c>
      <x:c r="E67" s="211"/>
      <x:c r="F67" s="211" t="str">
        <x:v>117テスト・型検査・製品ビルド成功。RLS回帰、費用なしのサーバー境界・偽判定拒否・冪等性テスト成功。未認証401、公開HTTP 200。Supabase Function配備、DB migration適用、Cloudflare Version a3a8338f-7eff-4c76-83a0-3fd6b5e45e9b。実Claude正常応答は利用者画面で要確認。</x:v>
      </x:c>
    </x:row>
    <x:row r="68" ht="135" customHeight="1">
      <x:c r="A68" s="213" t="n">
        <x:v>46271</x:v>
      </x:c>
      <x:c r="B68" s="211" t="str">
        <x:v>全段階の問題文レイアウトを読みやすく整理</x:v>
      </x:c>
      <x:c r="C68" s="211" t="str">
        <x:v>ホーム・課題トップ・課題詳細・進捗画面で改行を保持して表示。STEP 2は指示と内容①・内容②を分け、STEP 3〜12も問題文の構造に応じて文番号、作業手順、指定文数、構成項目を行ごとに整理した。既存の表示も新しい問題文レイアウトへ復元する。</x:v>
      </x:c>
      <x:c r="D68" s="211" t="str">
        <x:v>APP-005 / CUR-003〜006 / OPS-002 / QA-001</x:v>
      </x:c>
      <x:c r="E68" s="211"/>
      <x:c r="F68" s="211" t="str">
        <x:v>117テスト・型検査・製品ビルド成功。Cloudflare Version 40b368b6-efd2-4dbf-8e83-16cca5b3748eへ公開済み。</x:v>
      </x:c>
    </x:row>
    <x:row r="69" ht="175" customHeight="1">
      <x:c r="A69" s="213" t="n">
        <x:v>46271</x:v>
      </x:c>
      <x:c r="B69" s="211" t="str">
        <x:v>Claude添削のHTTP 400を修正</x:v>
      </x:c>
      <x:c r="C69" s="211" t="str">
        <x:v>Structured Outputs非対応のminLength・maxLength・maxItems・2以上のminItemsを送信Schemaから除去。厳密な文字数・件数・重複・合否検証はサーバー側に維持した。確定失敗後は新しいrequest_idで再提出できるよう修正。</x:v>
      </x:c>
      <x:c r="D69" s="211" t="str">
        <x:v>AI-003 / AI-006〜007・009 / OPS-002 / QA-001</x:v>
      </x:c>
      <x:c r="E69" s="211"/>
      <x:c r="F69" s="211" t="str">
        <x:v>118テスト・型検査・製品ビルド成功。Sonnet 4.6直接検査HTTP 200、入力924・出力331トークン。Supabase再配備、Cloudflare Version e8e37c08-183b-4f82-9cdc-2f1feccc6a7d。利用者画面の提出は要確認。</x:v>
      </x:c>
    </x:row>
    <x:row r="70" ht="190" customHeight="1">
      <x:c r="A70" s="213" t="n">
        <x:v>46271</x:v>
      </x:c>
      <x:c r="B70" s="211" t="str">
        <x:v>STEP 2・3を各3問セットへ再設計・実装</x:v>
      </x:c>
      <x:c r="C70" s="211" t="str">
        <x:v>STEP 1は5問セットを維持。STEP 2を情報関係・明確さ・情報選択、STEP 3を文順・不足説明・流れ修正の各3問セットへ変更。全問正解で1セット合格、通常訓練では正解済みを保持して誤答だけ再提出する。Claude一括採点、全問履歴、27セットの重複回避、旧未提出問題の現行版更新を実装した。</x:v>
      </x:c>
      <x:c r="D70" s="211" t="str">
        <x:v>APP-007〜008・016 / CUR-009〜011 / AI-003・005〜006 / DB-011 / OPS-002 / QA-001・010〜011</x:v>
      </x:c>
      <x:c r="E70" s="211"/>
      <x:c r="F70" s="211" t="str">
        <x:v>122テスト・型検査・製品ビルド成功。Supabase migrationとfeedback Functionを配備。Cloudflare Version 8f2c1e38-0980-40a4-a018-5e7dcabb8b62。公開STEP 2・3 HTTP 200。実ユーザーのClaude提出品質は要確認。</x:v>
      </x:c>
    </x:row>
    <x:row r="71" ht="165" customHeight="1">
      <x:c r="A71" s="213" t="n">
        <x:v>46271</x:v>
      </x:c>
      <x:c r="B71" s="211" t="str">
        <x:v>未提出課題を残した段階変更を許可</x:v>
      </x:c>
      <x:c r="C71" s="211" t="str">
        <x:v>到達済み段階へ戻る操作が、別段階の未提出課題があるため拒否される不具合を修正。段階変更時に未提出課題を削除・無効化せず、元の段階へ戻ったときに同じ課題を再開するようSupabaseの段階変更関数を更新した。</x:v>
      </x:c>
      <x:c r="D71" s="211" t="str">
        <x:v>APP-007〜008 / DB-011 / QA-011</x:v>
      </x:c>
      <x:c r="E71" s="211"/>
      <x:c r="F71" s="211" t="str">
        <x:v>123テスト・型検査・製品ビルド成功。Supabase migration 202609060003_allow_stage_switch_with_open_problem.sqlを適用し、本番関数が未提出課題で段階変更を拒否しないことを確認。</x:v>
      </x:c>
    </x:row>
  </x:sheetData>
  <x:mergeCells>
    <x:mergeCell ref="A1:F1"/>
  </x:mergeCells>
  <x:pageMargins left="0.7" right="0.7" top="0.75" bottom="0.75" header="0.3" footer="0.3"/>
  <x:tableParts count="1">
    <x:tablePart xmlns:r="http://schemas.openxmlformats.org/officeDocument/2006/relationships" r:id="R041fd1e859484e74"/>
  </x:tableParts>
</x:worksheet>
</file>