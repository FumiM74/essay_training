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030f969494450c" /></Relationships>
</file>

<file path=xl/workbook.xml><?xml version="1.0" encoding="utf-8"?>
<x:workbook xmlns:x="http://schemas.openxmlformats.org/spreadsheetml/2006/main">
  <x:sheets>
    <x:sheet xmlns:r="http://schemas.openxmlformats.org/officeDocument/2006/relationships" name="進捗サマリー" sheetId="1" r:id="Rc3ec61def1704ab9"/>
    <x:sheet xmlns:r="http://schemas.openxmlformats.org/officeDocument/2006/relationships" name="実装タスク" sheetId="2" r:id="Rdc585897afa5429e"/>
    <x:sheet xmlns:r="http://schemas.openxmlformats.org/officeDocument/2006/relationships" name="更新履歴" sheetId="5" r:id="Rd1ff3e0bdd9c4670"/>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
    <x:numFmt numFmtId="201" formatCode="yyyy-mm-dd"/>
    <x:numFmt numFmtId="202" formatCode="yyyy/m/d"/>
    <x:numFmt numFmtId="203" formatCode="0"/>
    <x:numFmt numFmtId="204" formatCode="0 &quot;日&quot;"/>
    <x:numFmt numFmtId="205" formatCode="0 &quot;件&quot;"/>
    <x:numFmt numFmtId="206" formatCode="0.0 &quot;時間&quot;"/>
    <x:numFmt numFmtId="207" formatCode="m/d"/>
    <x:numFmt numFmtId="208" formatCode="#,##0"/>
  </x:numFmts>
  <x:fonts count="35">
    <x:font>
      <x:sz val="11"/>
      <x:name val="Carlito"/>
    </x:font>
    <x:font>
      <x:b/>
      <x:sz val="20"/>
      <x:color rgb="FFFFFFFF"/>
      <x:name val="Carlito"/>
    </x:font>
    <x:font>
      <x:sz val="11"/>
      <x:color rgb="FF23313D"/>
      <x:name val="Carlito"/>
    </x:font>
    <x:font>
      <x:b/>
      <x:sz val="11"/>
      <x:color rgb="FFFFFFFF"/>
      <x:name val="Carlito"/>
    </x:font>
    <x:font>
      <x:b/>
      <x:sz val="16"/>
      <x:color rgb="FF17324D"/>
      <x:name val="Carlito"/>
    </x:font>
    <x:font>
      <x:b/>
      <x:sz val="11"/>
      <x:color rgb="FF17324D"/>
      <x:name val="Carlito"/>
    </x:font>
    <x:font>
      <x:b/>
      <x:sz val="11"/>
      <x:color rgb="FF6B4D00"/>
      <x:name val="Carlito"/>
    </x:font>
    <x:font>
      <x:i/>
      <x:sz val="11"/>
      <x:color rgb="FF5D6B76"/>
      <x:name val="Carlito"/>
    </x:font>
    <x:font>
      <x:b/>
      <x:sz val="18"/>
      <x:color rgb="FFFFFFFF"/>
      <x:name val="Carlito"/>
    </x:font>
    <x:font>
      <x:sz val="11"/>
      <x:color rgb="FF6B4D00"/>
      <x:name val="Carlito"/>
    </x:font>
    <x:font>
      <x:sz val="14"/>
      <x:color rgb="FF1F6F78"/>
      <x:name val="Carlito"/>
    </x:font>
    <x:font>
      <x:b/>
      <x:sz val="11"/>
      <x:color rgb="FF065F46"/>
      <x:name val="Carlito"/>
    </x:font>
    <x:font>
      <x:sz val="10"/>
      <x:color rgb="FF334155"/>
      <x:name val="Carlito"/>
    </x:font>
    <x:font>
      <x:b/>
      <x:sz val="16"/>
      <x:color rgb="FF92400E"/>
      <x:name val="Carlito"/>
    </x:font>
    <x:font>
      <x:b/>
      <x:sz val="14"/>
      <x:color rgb="FF115E59"/>
      <x:name val="Carlito"/>
    </x:font>
    <x:font>
      <x:b/>
      <x:sz val="9"/>
      <x:color rgb="FF475569"/>
      <x:name val="Carlito"/>
    </x:font>
    <x:font>
      <x:sz val="9"/>
      <x:color rgb="FF475569"/>
      <x:name val="Carlito"/>
    </x:font>
    <x:font>
      <x:sz val="6"/>
      <x:color rgb="FFEBEDF0"/>
      <x:name val="Carlito"/>
    </x:font>
    <x:font>
      <x:sz val="6"/>
      <x:color rgb="FF9BE9A8"/>
      <x:name val="Carlito"/>
    </x:font>
    <x:font>
      <x:sz val="6"/>
      <x:color rgb="FF40C463"/>
      <x:name val="Carlito"/>
    </x:font>
    <x:font>
      <x:sz val="6"/>
      <x:color rgb="FF30A14E"/>
      <x:name val="Carlito"/>
    </x:font>
    <x:font>
      <x:sz val="6"/>
      <x:color rgb="FF216E39"/>
      <x:name val="Carlito"/>
    </x:font>
    <x:font>
      <x:sz val="9"/>
      <x:color rgb="FF64748B"/>
      <x:name val="Carlito"/>
    </x:font>
    <x:font>
      <x:b/>
      <x:sz val="9"/>
      <x:color rgb="FF64748B"/>
      <x:name val="Carlito"/>
    </x:font>
    <x:font>
      <x:sz val="7"/>
      <x:color rgb="FF94A3B8"/>
      <x:name val="Carlito"/>
    </x:font>
    <x:font>
      <x:sz val="10"/>
      <x:color rgb="FF35505B"/>
      <x:name val="Carlito"/>
    </x:font>
    <x:font>
      <x:b/>
      <x:sz val="12"/>
      <x:color rgb="FFFFFFFF"/>
      <x:name val="Carlito"/>
    </x:font>
    <x:font>
      <x:b/>
      <x:sz val="16"/>
      <x:color rgb="FF173B5B"/>
      <x:name val="Carlito"/>
    </x:font>
    <x:font>
      <x:b/>
      <x:sz val="10"/>
      <x:color rgb="FF805C12"/>
      <x:name val="Carlito"/>
    </x:font>
    <x:font>
      <x:b/>
      <x:sz val="10"/>
      <x:color rgb="FF16715F"/>
      <x:name val="Carlito"/>
    </x:font>
    <x:font>
      <x:i/>
      <x:sz val="10"/>
      <x:color rgb="FF6C7A80"/>
      <x:name val="Carlito"/>
    </x:font>
    <x:font>
      <x:b/>
      <x:sz val="10"/>
      <x:color rgb="FFFFFFFF"/>
      <x:name val="Carlito"/>
    </x:font>
    <x:font>
      <x:b/>
      <x:sz val="11"/>
      <x:color rgb="FF23423B"/>
      <x:name val="Carlito"/>
    </x:font>
    <x:font>
      <x:b/>
      <x:sz val="10"/>
      <x:color rgb="FF536B63"/>
      <x:name val="Carlito"/>
    </x:font>
    <x:font>
      <x:i/>
      <x:sz val="10"/>
      <x:color rgb="FF536B63"/>
      <x:name val="Carlito"/>
    </x:font>
  </x:fonts>
  <x:fills count="34">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1F6F78"/>
      </x:patternFill>
    </x:fill>
    <x:fill>
      <x:patternFill patternType="solid">
        <x:fgColor rgb="FFF8FBFC"/>
      </x:patternFill>
    </x:fill>
    <x:fill>
      <x:patternFill patternType="solid">
        <x:fgColor rgb="FFF4F6F8"/>
      </x:patternFill>
    </x:fill>
    <x:fill>
      <x:patternFill patternType="solid">
        <x:fgColor rgb="FFFFF4D6"/>
      </x:patternFill>
    </x:fill>
    <x:fill>
      <x:patternFill patternType="solid">
        <x:fgColor rgb="FFFFFDF2"/>
      </x:patternFill>
    </x:fill>
    <x:fill>
      <x:patternFill patternType="solid">
        <x:fgColor rgb="FF0F766E"/>
      </x:patternFill>
    </x:fill>
    <x:fill>
      <x:patternFill patternType="solid">
        <x:fgColor rgb="FFFFF7CC"/>
      </x:patternFill>
    </x:fill>
    <x:fill>
      <x:patternFill patternType="solid">
        <x:fgColor rgb="FFECFDF5"/>
      </x:patternFill>
    </x:fill>
    <x:fill>
      <x:patternFill patternType="solid">
        <x:fgColor rgb="FF0B1F3A"/>
      </x:patternFill>
    </x:fill>
    <x:fill>
      <x:patternFill patternType="solid">
        <x:fgColor rgb="FFE8F1F8"/>
      </x:patternFill>
    </x:fill>
    <x:fill>
      <x:patternFill patternType="solid">
        <x:fgColor rgb="FFF0FDFA"/>
      </x:patternFill>
    </x:fill>
    <x:fill>
      <x:patternFill patternType="solid">
        <x:fgColor rgb="FFEBEDF0"/>
      </x:patternFill>
    </x:fill>
    <x:fill>
      <x:patternFill patternType="solid">
        <x:fgColor rgb="FF9BE9A8"/>
      </x:patternFill>
    </x:fill>
    <x:fill>
      <x:patternFill patternType="solid">
        <x:fgColor rgb="FF40C463"/>
      </x:patternFill>
    </x:fill>
    <x:fill>
      <x:patternFill patternType="solid">
        <x:fgColor rgb="FF30A14E"/>
      </x:patternFill>
    </x:fill>
    <x:fill>
      <x:patternFill patternType="solid">
        <x:fgColor rgb="FF216E39"/>
      </x:patternFill>
    </x:fill>
    <x:fill>
      <x:patternFill patternType="solid">
        <x:fgColor rgb="FFF1F5F9"/>
      </x:patternFill>
    </x:fill>
    <x:fill>
      <x:patternFill patternType="solid">
        <x:fgColor rgb="FFF8FAFC"/>
      </x:patternFill>
    </x:fill>
    <x:fill>
      <x:patternFill patternType="solid">
        <x:fgColor rgb="FFFFF7CC"/>
      </x:patternFill>
    </x:fill>
    <x:fill>
      <x:patternFill patternType="solid">
        <x:fgColor rgb="FFFFF7CC"/>
      </x:patternFill>
    </x:fill>
    <x:fill>
      <x:patternFill patternType="solid">
        <x:fgColor rgb="FF173B5B"/>
      </x:patternFill>
    </x:fill>
    <x:fill>
      <x:patternFill patternType="solid">
        <x:fgColor rgb="FFE8F2F5"/>
      </x:patternFill>
    </x:fill>
    <x:fill>
      <x:patternFill patternType="solid">
        <x:fgColor rgb="FF277B82"/>
      </x:patternFill>
    </x:fill>
    <x:fill>
      <x:patternFill patternType="solid">
        <x:fgColor rgb="FFFFFFFF"/>
      </x:patternFill>
    </x:fill>
    <x:fill>
      <x:patternFill patternType="solid">
        <x:fgColor rgb="FFFFF3CF"/>
      </x:patternFill>
    </x:fill>
    <x:fill>
      <x:patternFill patternType="solid">
        <x:fgColor rgb="FFE8F8F2"/>
      </x:patternFill>
    </x:fill>
    <x:fill>
      <x:patternFill patternType="solid">
        <x:fgColor rgb="FF173B5B"/>
      </x:patternFill>
    </x:fill>
    <x:fill>
      <x:patternFill patternType="solid">
        <x:fgColor rgb="FF277B82"/>
      </x:patternFill>
    </x:fill>
    <x:fill>
      <x:patternFill patternType="solid">
        <x:fgColor rgb="FFF3F8FA"/>
      </x:patternFill>
    </x:fill>
    <x:fill>
      <x:patternFill patternType="solid">
        <x:fgColor rgb="FFB9E3F3"/>
      </x:patternFill>
    </x:fill>
  </x:fills>
  <x:borders count="10">
    <x:border/>
    <x:border>
      <x:left style="thin">
        <x:color rgb="FFD5DEE5"/>
      </x:left>
      <x:top style="thin">
        <x:color rgb="FFD5DEE5"/>
      </x:top>
      <x:bottom style="thin">
        <x:color rgb="FFD5DEE5"/>
      </x:bottom>
    </x:border>
    <x:border>
      <x:top style="thin">
        <x:color rgb="FFD5DEE5"/>
      </x:top>
      <x:bottom style="thin">
        <x:color rgb="FFD5DEE5"/>
      </x:bottom>
    </x:border>
    <x:border>
      <x:right style="thin">
        <x:color rgb="FFD5DEE5"/>
      </x:right>
      <x:top style="thin">
        <x:color rgb="FFD5DEE5"/>
      </x:top>
      <x:bottom style="thin">
        <x:color rgb="FFD5DEE5"/>
      </x:bottom>
    </x:border>
    <x:border>
      <x:bottom style="thin">
        <x:color rgb="FFD5DEE5"/>
      </x:bottom>
    </x:border>
    <x:border>
      <x:top style="thin">
        <x:color rgb="FFD5DEE5"/>
      </x:top>
    </x:border>
    <x:border>
      <x:left style="thin">
        <x:color rgb="FFFFFFFF"/>
      </x:left>
      <x:right style="thin">
        <x:color rgb="FFFFFFFF"/>
      </x:right>
      <x:top style="thin">
        <x:color rgb="FFFFFFFF"/>
      </x:top>
      <x:bottom style="thin">
        <x:color rgb="FFFFFFFF"/>
      </x:bottom>
    </x:border>
    <x:border>
      <x:left style="thin">
        <x:color rgb="FF59BDE8"/>
      </x:left>
      <x:top style="thin">
        <x:color rgb="FF59BDE8"/>
      </x:top>
      <x:bottom style="thin">
        <x:color rgb="FF59BDE8"/>
      </x:bottom>
    </x:border>
    <x:border>
      <x:top style="thin">
        <x:color rgb="FF59BDE8"/>
      </x:top>
      <x:bottom style="thin">
        <x:color rgb="FF59BDE8"/>
      </x:bottom>
    </x:border>
    <x:border>
      <x:right style="thin">
        <x:color rgb="FF59BDE8"/>
      </x:right>
      <x:top style="thin">
        <x:color rgb="FF59BDE8"/>
      </x:top>
      <x:bottom style="thin">
        <x:color rgb="FF59BDE8"/>
      </x:bottom>
    </x:border>
  </x:borders>
  <x:cellStyleXfs count="1">
    <x:xf numFmtId="0" fontId="0" fillId="0" borderId="0"/>
  </x:cellStyleXfs>
  <x:cellXfs count="23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20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200" fontId="0" fillId="5" borderId="0" xfId="0" applyNumberFormat="1" applyFont="1" applyFill="1" applyBorder="1"/>
    <x:xf numFmtId="0" fontId="4" fillId="5" borderId="0" xfId="0" applyNumberFormat="1" applyFont="1" applyFill="1" applyBorder="1"/>
    <x:xf numFmtId="20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200" fontId="4" fillId="5" borderId="2" xfId="0" applyNumberFormat="1" applyFont="1" applyFill="1" applyBorder="1"/>
    <x:xf numFmtId="200" fontId="4" fillId="5" borderId="3"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0" borderId="4" xfId="0" applyNumberFormat="1" applyFont="1" applyFill="1" applyBorder="1"/>
    <x:xf numFmtId="200" fontId="0" fillId="0" borderId="4" xfId="0" applyNumberFormat="1" applyFont="1" applyFill="1" applyBorder="1"/>
    <x:xf numFmtId="0" fontId="0" fillId="0" borderId="2" xfId="0" applyNumberFormat="1" applyFont="1" applyFill="1" applyBorder="1"/>
    <x:xf numFmtId="200" fontId="0" fillId="0" borderId="2" xfId="0" applyNumberFormat="1" applyFont="1" applyFill="1" applyBorder="1"/>
    <x:xf numFmtId="0" fontId="0" fillId="0" borderId="4" xfId="0" applyNumberFormat="1" applyFont="1" applyFill="1" applyBorder="1" applyAlignment="1">
      <x:alignment vertical="center"/>
    </x:xf>
    <x:xf numFmtId="200" fontId="0" fillId="0" borderId="4" xfId="0" applyNumberFormat="1" applyFont="1" applyFill="1" applyBorder="1" applyAlignment="1">
      <x:alignment vertical="center"/>
    </x:xf>
    <x:xf numFmtId="0" fontId="0" fillId="0" borderId="2" xfId="0" applyNumberFormat="1" applyFont="1" applyFill="1" applyBorder="1" applyAlignment="1">
      <x:alignment vertical="center"/>
    </x:xf>
    <x:xf numFmtId="200" fontId="0" fillId="0" borderId="2" xfId="0" applyNumberFormat="1" applyFont="1" applyFill="1" applyBorder="1" applyAlignment="1">
      <x:alignment vertical="center"/>
    </x:xf>
    <x:xf numFmtId="0" fontId="5" fillId="0" borderId="4" xfId="0" applyNumberFormat="1" applyFont="1" applyFill="1" applyBorder="1" applyAlignment="1">
      <x:alignment vertical="center"/>
    </x:xf>
    <x:xf numFmtId="0" fontId="5" fillId="0" borderId="2" xfId="0" applyNumberFormat="1" applyFont="1" applyFill="1" applyBorder="1" applyAlignment="1">
      <x:alignment vertical="center"/>
    </x:xf>
    <x:xf numFmtId="0" fontId="0" fillId="0" borderId="4" xfId="0" applyNumberFormat="1" applyFont="1" applyFill="1" applyBorder="1" applyAlignment="1">
      <x:alignment horizontal="center" vertical="center"/>
    </x:xf>
    <x:xf numFmtId="200" fontId="0" fillId="0" borderId="4" xfId="0" applyNumberFormat="1" applyFont="1" applyFill="1" applyBorder="1" applyAlignment="1">
      <x:alignment horizontal="center" vertical="center"/>
    </x:xf>
    <x:xf numFmtId="0" fontId="0" fillId="0" borderId="2" xfId="0" applyNumberFormat="1" applyFont="1" applyFill="1" applyBorder="1" applyAlignment="1">
      <x:alignment horizontal="center" vertical="center"/>
    </x:xf>
    <x:xf numFmtId="200" fontId="0" fillId="0" borderId="2" xfId="0" applyNumberFormat="1" applyFont="1" applyFill="1" applyBorder="1" applyAlignment="1">
      <x:alignment horizontal="center" vertical="center"/>
    </x:xf>
    <x:xf numFmtId="0" fontId="0" fillId="6" borderId="4" xfId="0" applyNumberFormat="1" applyFont="1" applyFill="1" applyBorder="1" applyAlignment="1">
      <x:alignment vertical="center"/>
    </x:xf>
    <x:xf numFmtId="0" fontId="0" fillId="6" borderId="2" xfId="0" applyNumberFormat="1" applyFont="1" applyFill="1" applyBorder="1" applyAlignment="1">
      <x:alignment vertical="center"/>
    </x:xf>
    <x:xf numFmtId="0" fontId="0" fillId="6" borderId="4" xfId="0" applyNumberFormat="1" applyFont="1" applyFill="1" applyBorder="1" applyAlignment="1">
      <x:alignment vertical="center" wrapText="1"/>
    </x:xf>
    <x:xf numFmtId="0" fontId="0" fillId="6" borderId="2"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7" fillId="0"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vertical="center"/>
    </x:xf>
    <x:xf numFmtId="0" fontId="9" fillId="7" borderId="0" xfId="0" applyNumberFormat="1" applyFont="1" applyFill="1" applyBorder="1"/>
    <x:xf numFmtId="0" fontId="9" fillId="7"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4" xfId="0" applyNumberFormat="1" applyFont="1" applyFill="1" applyBorder="1"/>
    <x:xf numFmtId="201" fontId="0" fillId="0" borderId="2" xfId="0" applyNumberFormat="1" applyFont="1" applyFill="1" applyBorder="1"/>
    <x:xf numFmtId="0" fontId="0" fillId="0" borderId="5" xfId="0" applyNumberFormat="1" applyFont="1" applyFill="1" applyBorder="1"/>
    <x:xf numFmtId="201" fontId="0" fillId="0" borderId="5" xfId="0" applyNumberFormat="1" applyFont="1" applyFill="1" applyBorder="1"/>
    <x:xf numFmtId="0" fontId="0" fillId="0" borderId="4" xfId="0" applyNumberFormat="1" applyFont="1" applyFill="1" applyBorder="1" applyAlignment="1">
      <x:alignment vertical="top"/>
    </x:xf>
    <x:xf numFmtId="201" fontId="0" fillId="0" borderId="4" xfId="0" applyNumberFormat="1" applyFont="1" applyFill="1" applyBorder="1" applyAlignment="1">
      <x:alignment vertical="top"/>
    </x:xf>
    <x:xf numFmtId="0" fontId="0" fillId="0" borderId="2" xfId="0" applyNumberFormat="1" applyFont="1" applyFill="1" applyBorder="1" applyAlignment="1">
      <x:alignment vertical="top"/>
    </x:xf>
    <x:xf numFmtId="201" fontId="0" fillId="0" borderId="2" xfId="0" applyNumberFormat="1" applyFont="1" applyFill="1" applyBorder="1" applyAlignment="1">
      <x:alignment vertical="top"/>
    </x:xf>
    <x:xf numFmtId="0" fontId="0" fillId="0" borderId="5" xfId="0" applyNumberFormat="1" applyFont="1" applyFill="1" applyBorder="1" applyAlignment="1">
      <x:alignment vertical="top"/>
    </x:xf>
    <x:xf numFmtId="201" fontId="0" fillId="0" borderId="5" xfId="0" applyNumberFormat="1" applyFont="1" applyFill="1" applyBorder="1" applyAlignment="1">
      <x:alignment vertical="top"/>
    </x:xf>
    <x:xf numFmtId="0" fontId="10" fillId="0" borderId="4" xfId="0" applyNumberFormat="1" applyFont="1" applyFill="1" applyBorder="1" applyAlignment="1">
      <x:alignment vertical="top"/>
    </x:xf>
    <x:xf numFmtId="0" fontId="10" fillId="0" borderId="2" xfId="0" applyNumberFormat="1" applyFont="1" applyFill="1" applyBorder="1" applyAlignment="1">
      <x:alignment vertical="top"/>
    </x:xf>
    <x:xf numFmtId="0" fontId="10" fillId="0" borderId="5" xfId="0" applyNumberFormat="1" applyFont="1" applyFill="1" applyBorder="1" applyAlignment="1">
      <x:alignment vertical="top"/>
    </x:xf>
    <x:xf numFmtId="0" fontId="10" fillId="0" borderId="4" xfId="0" applyNumberFormat="1" applyFont="1" applyFill="1" applyBorder="1" applyAlignment="1">
      <x:alignment horizontal="center" vertical="top"/>
    </x:xf>
    <x:xf numFmtId="0" fontId="10" fillId="0" borderId="2" xfId="0" applyNumberFormat="1" applyFont="1" applyFill="1" applyBorder="1" applyAlignment="1">
      <x:alignment horizontal="center" vertical="top"/>
    </x:xf>
    <x:xf numFmtId="0" fontId="10" fillId="0" borderId="5" xfId="0" applyNumberFormat="1" applyFont="1" applyFill="1" applyBorder="1" applyAlignment="1">
      <x:alignment horizontal="center" vertical="top"/>
    </x:xf>
    <x:xf numFmtId="0" fontId="0" fillId="0" borderId="4" xfId="0" applyNumberFormat="1" applyFont="1" applyFill="1" applyBorder="1" applyAlignment="1">
      <x:alignment horizontal="center" vertical="top"/>
    </x:xf>
    <x:xf numFmtId="0" fontId="0" fillId="0" borderId="2" xfId="0" applyNumberFormat="1" applyFont="1" applyFill="1" applyBorder="1" applyAlignment="1">
      <x:alignment horizontal="center" vertical="top"/>
    </x:xf>
    <x:xf numFmtId="0" fontId="0" fillId="0" borderId="5" xfId="0" applyNumberFormat="1" applyFont="1" applyFill="1" applyBorder="1" applyAlignment="1">
      <x:alignment horizontal="center" vertical="top"/>
    </x:xf>
    <x:xf numFmtId="0" fontId="0" fillId="0" borderId="4" xfId="0" applyNumberFormat="1" applyFont="1" applyFill="1" applyBorder="1" applyAlignment="1">
      <x:alignment vertical="top" wrapText="1"/>
    </x:xf>
    <x:xf numFmtId="0" fontId="0" fillId="0" borderId="4"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8" borderId="4" xfId="0" applyNumberFormat="1" applyFont="1" applyFill="1" applyBorder="1" applyAlignment="1">
      <x:alignment horizontal="center" vertical="top" wrapText="1"/>
    </x:xf>
    <x:xf numFmtId="0" fontId="0" fillId="8" borderId="4" xfId="0" applyNumberFormat="1" applyFont="1" applyFill="1" applyBorder="1" applyAlignment="1">
      <x:alignment vertical="top" wrapText="1"/>
    </x:xf>
    <x:xf numFmtId="0" fontId="0" fillId="8" borderId="2" xfId="0" applyNumberFormat="1" applyFont="1" applyFill="1" applyBorder="1" applyAlignment="1">
      <x:alignment horizontal="center" vertical="top" wrapText="1"/>
    </x:xf>
    <x:xf numFmtId="0" fontId="0" fillId="8" borderId="2" xfId="0" applyNumberFormat="1" applyFont="1" applyFill="1" applyBorder="1" applyAlignment="1">
      <x:alignment vertical="top" wrapText="1"/>
    </x:xf>
    <x:xf numFmtId="0" fontId="0" fillId="8" borderId="5" xfId="0" applyNumberFormat="1" applyFont="1" applyFill="1" applyBorder="1" applyAlignment="1">
      <x:alignment horizontal="center" vertical="top" wrapText="1"/>
    </x:xf>
    <x:xf numFmtId="0" fontId="0" fillId="8" borderId="5" xfId="0" applyNumberFormat="1" applyFont="1" applyFill="1" applyBorder="1" applyAlignment="1">
      <x:alignment vertical="top" wrapText="1"/>
    </x:xf>
    <x:xf numFmtId="201" fontId="0" fillId="8" borderId="4" xfId="0" applyNumberFormat="1" applyFont="1" applyFill="1" applyBorder="1" applyAlignment="1">
      <x:alignment vertical="top"/>
    </x:xf>
    <x:xf numFmtId="201" fontId="0" fillId="8" borderId="2" xfId="0" applyNumberFormat="1" applyFont="1" applyFill="1" applyBorder="1" applyAlignment="1">
      <x:alignment vertical="top"/>
    </x:xf>
    <x:xf numFmtId="201" fontId="0" fillId="8" borderId="5" xfId="0" applyNumberFormat="1" applyFont="1" applyFill="1" applyBorder="1" applyAlignment="1">
      <x:alignment vertical="top"/>
    </x:xf>
    <x:xf numFmtId="0" fontId="3" fillId="4" borderId="4" xfId="0" applyNumberFormat="1" applyFont="1" applyFill="1" applyBorder="1" applyAlignment="1">
      <x:alignment horizontal="center" wrapText="1"/>
    </x:xf>
    <x:xf numFmtId="0" fontId="3" fillId="4" borderId="4" xfId="0" applyNumberFormat="1" applyFont="1" applyFill="1" applyBorder="1" applyAlignment="1">
      <x:alignment horizontal="center" vertical="top" wrapText="1"/>
    </x:xf>
    <x:xf numFmtId="202" fontId="0" fillId="0" borderId="0"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203" fontId="0" fillId="0" borderId="0" xfId="0" applyNumberFormat="1" applyFont="1" applyFill="1" applyBorder="1"/>
    <x:xf numFmtId="202" fontId="0" fillId="0" borderId="2" xfId="0" applyNumberFormat="1" applyFont="1" applyFill="1" applyBorder="1" applyAlignment="1">
      <x:alignment vertical="top"/>
    </x:xf>
    <x:xf numFmtId="202" fontId="0" fillId="0" borderId="5" xfId="0" applyNumberFormat="1" applyFont="1" applyFill="1" applyBorder="1" applyAlignment="1">
      <x:alignment vertical="top"/>
    </x:xf>
    <x:xf numFmtId="203" fontId="0" fillId="10" borderId="0" xfId="0" applyNumberFormat="1" applyFont="1" applyFill="1" applyBorder="1"/>
    <x:xf numFmtId="0" fontId="0"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horizontal="left" wrapText="1"/>
    </x:xf>
    <x:xf numFmtId="0" fontId="11" fillId="11" borderId="0" xfId="0" applyNumberFormat="1" applyFont="1" applyFill="1" applyBorder="1" applyAlignment="1">
      <x:alignment horizontal="left" vertical="center"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horizontal="left"/>
    </x:xf>
    <x:xf numFmtId="0" fontId="8" fillId="12" borderId="0" xfId="0" applyNumberFormat="1" applyFont="1" applyFill="1" applyBorder="1" applyAlignment="1">
      <x:alignment horizontal="left" vertical="center"/>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vertical="center"/>
    </x:xf>
    <x:xf numFmtId="0" fontId="0" fillId="10" borderId="0" xfId="0" applyNumberFormat="1" applyFont="1" applyFill="1" applyBorder="1"/>
    <x:xf numFmtId="0" fontId="13" fillId="10" borderId="0" xfId="0" applyNumberFormat="1" applyFont="1" applyFill="1" applyBorder="1"/>
    <x:xf numFmtId="0" fontId="13" fillId="10" borderId="0" xfId="0" applyNumberFormat="1" applyFont="1" applyFill="1" applyBorder="1" applyAlignment="1">
      <x:alignment horizontal="center"/>
    </x:xf>
    <x:xf numFmtId="0" fontId="13" fillId="10" borderId="0" xfId="0" applyNumberFormat="1" applyFont="1" applyFill="1" applyBorder="1" applyAlignment="1">
      <x:alignment horizontal="center" vertical="center"/>
    </x:xf>
    <x:xf numFmtId="0" fontId="3" fillId="9" borderId="0" xfId="0" applyNumberFormat="1" applyFont="1" applyFill="1" applyBorder="1" applyAlignment="1">
      <x:alignment horizontal="center"/>
    </x:xf>
    <x:xf numFmtId="0" fontId="3" fillId="9" borderId="0" xfId="0" applyNumberFormat="1" applyFont="1" applyFill="1" applyBorder="1" applyAlignment="1">
      <x:alignment horizontal="center" vertical="center"/>
    </x:xf>
    <x:xf numFmtId="0" fontId="0" fillId="14" borderId="0" xfId="0" applyNumberFormat="1" applyFont="1" applyFill="1" applyBorder="1"/>
    <x:xf numFmtId="0" fontId="14" fillId="14" borderId="0" xfId="0" applyNumberFormat="1" applyFont="1" applyFill="1" applyBorder="1"/>
    <x:xf numFmtId="204" fontId="14" fillId="14" borderId="0" xfId="0" applyNumberFormat="1" applyFont="1" applyFill="1" applyBorder="1"/>
    <x:xf numFmtId="204" fontId="14" fillId="14" borderId="0" xfId="0" applyNumberFormat="1" applyFont="1" applyFill="1" applyBorder="1" applyAlignment="1">
      <x:alignment horizontal="center"/>
    </x:xf>
    <x:xf numFmtId="204" fontId="14" fillId="14" borderId="0" xfId="0" applyNumberFormat="1" applyFont="1" applyFill="1" applyBorder="1" applyAlignment="1">
      <x:alignment horizontal="center" vertical="center"/>
    </x:xf>
    <x:xf numFmtId="205" fontId="14" fillId="14" borderId="0" xfId="0" applyNumberFormat="1" applyFont="1" applyFill="1" applyBorder="1"/>
    <x:xf numFmtId="205" fontId="14" fillId="14" borderId="0" xfId="0" applyNumberFormat="1" applyFont="1" applyFill="1" applyBorder="1" applyAlignment="1">
      <x:alignment horizontal="center"/>
    </x:xf>
    <x:xf numFmtId="205" fontId="14" fillId="14" borderId="0" xfId="0" applyNumberFormat="1" applyFont="1" applyFill="1" applyBorder="1" applyAlignment="1">
      <x:alignment horizontal="center" vertical="center"/>
    </x:xf>
    <x:xf numFmtId="206" fontId="14" fillId="14" borderId="0" xfId="0" applyNumberFormat="1" applyFont="1" applyFill="1" applyBorder="1"/>
    <x:xf numFmtId="206" fontId="14" fillId="14" borderId="0" xfId="0" applyNumberFormat="1" applyFont="1" applyFill="1" applyBorder="1" applyAlignment="1">
      <x:alignment horizontal="center"/>
    </x:xf>
    <x:xf numFmtId="206" fontId="14" fillId="14" borderId="0"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center"/>
    </x:xf>
    <x:xf numFmtId="0" fontId="16" fillId="0" borderId="0" xfId="0" applyNumberFormat="1" applyFont="1" applyFill="1" applyBorder="1"/>
    <x:xf numFmtId="0" fontId="16" fillId="0" borderId="0" xfId="0" applyNumberFormat="1" applyFont="1" applyFill="1" applyBorder="1" applyAlignment="1">
      <x:alignment horizontal="right"/>
    </x:xf>
    <x:xf numFmtId="0" fontId="16" fillId="0" borderId="0" xfId="0" applyNumberFormat="1" applyFont="1" applyFill="1" applyBorder="1" applyAlignment="1">
      <x:alignment horizontal="right" vertical="center"/>
    </x:xf>
    <x:xf numFmtId="207" fontId="0" fillId="0" borderId="0" xfId="0" applyNumberFormat="1" applyFont="1" applyFill="1" applyBorder="1"/>
    <x:xf numFmtId="0" fontId="0" fillId="15" borderId="0" xfId="0" applyNumberFormat="1" applyFont="1" applyFill="1" applyBorder="1"/>
    <x:xf numFmtId="0" fontId="17" fillId="15" borderId="0" xfId="0" applyNumberFormat="1" applyFont="1" applyFill="1" applyBorder="1"/>
    <x:xf numFmtId="0" fontId="17" fillId="15" borderId="0" xfId="0" applyNumberFormat="1" applyFont="1" applyFill="1" applyBorder="1" applyAlignment="1">
      <x:alignment horizontal="center"/>
    </x:xf>
    <x:xf numFmtId="0" fontId="17" fillId="15" borderId="0" xfId="0" applyNumberFormat="1" applyFont="1" applyFill="1" applyBorder="1" applyAlignment="1">
      <x:alignment horizontal="center" vertical="center"/>
    </x:xf>
    <x:xf numFmtId="0" fontId="17" fillId="15" borderId="6" xfId="0" applyNumberFormat="1" applyFont="1" applyFill="1" applyBorder="1" applyAlignment="1">
      <x:alignment horizontal="center" vertical="center"/>
    </x:xf>
    <x:xf numFmtId="0" fontId="0" fillId="16" borderId="0" xfId="0" applyNumberFormat="1" applyFont="1" applyFill="1" applyBorder="1"/>
    <x:xf numFmtId="0" fontId="18" fillId="16" borderId="0" xfId="0" applyNumberFormat="1" applyFont="1" applyFill="1" applyBorder="1"/>
    <x:xf numFmtId="0" fontId="18" fillId="16" borderId="0" xfId="0" applyNumberFormat="1" applyFont="1" applyFill="1" applyBorder="1" applyAlignment="1">
      <x:alignment horizontal="center"/>
    </x:xf>
    <x:xf numFmtId="0" fontId="0" fillId="17" borderId="0" xfId="0" applyNumberFormat="1" applyFont="1" applyFill="1" applyBorder="1"/>
    <x:xf numFmtId="0" fontId="19" fillId="17" borderId="0" xfId="0" applyNumberFormat="1" applyFont="1" applyFill="1" applyBorder="1"/>
    <x:xf numFmtId="0" fontId="19" fillId="17" borderId="0" xfId="0" applyNumberFormat="1" applyFont="1" applyFill="1" applyBorder="1" applyAlignment="1">
      <x:alignment horizontal="center"/>
    </x:xf>
    <x:xf numFmtId="0" fontId="0" fillId="18" borderId="0" xfId="0" applyNumberFormat="1" applyFont="1" applyFill="1" applyBorder="1"/>
    <x:xf numFmtId="0" fontId="20" fillId="18" borderId="0" xfId="0" applyNumberFormat="1" applyFont="1" applyFill="1" applyBorder="1"/>
    <x:xf numFmtId="0" fontId="20" fillId="18" borderId="0" xfId="0" applyNumberFormat="1" applyFont="1" applyFill="1" applyBorder="1" applyAlignment="1">
      <x:alignment horizontal="center"/>
    </x:xf>
    <x:xf numFmtId="0" fontId="0" fillId="19" borderId="0" xfId="0" applyNumberFormat="1" applyFont="1" applyFill="1" applyBorder="1"/>
    <x:xf numFmtId="0" fontId="21" fillId="19" borderId="0" xfId="0" applyNumberFormat="1" applyFont="1" applyFill="1" applyBorder="1"/>
    <x:xf numFmtId="0" fontId="21" fillId="19" borderId="0" xfId="0" applyNumberFormat="1" applyFont="1" applyFill="1" applyBorder="1" applyAlignment="1">
      <x:alignment horizontal="center"/>
    </x:xf>
    <x:xf numFmtId="0" fontId="22" fillId="0" borderId="0" xfId="0" applyNumberFormat="1" applyFont="1" applyFill="1" applyBorder="1"/>
    <x:xf numFmtId="0" fontId="22" fillId="15" borderId="0" xfId="0" applyNumberFormat="1" applyFont="1" applyFill="1" applyBorder="1" applyAlignment="1">
      <x:alignment horizontal="center"/>
    </x:xf>
    <x:xf numFmtId="0" fontId="22" fillId="16" borderId="0" xfId="0" applyNumberFormat="1" applyFont="1" applyFill="1" applyBorder="1" applyAlignment="1">
      <x:alignment horizontal="center"/>
    </x:xf>
    <x:xf numFmtId="0" fontId="22" fillId="17" borderId="0" xfId="0" applyNumberFormat="1" applyFont="1" applyFill="1" applyBorder="1" applyAlignment="1">
      <x:alignment horizontal="center"/>
    </x:xf>
    <x:xf numFmtId="0" fontId="22" fillId="18" borderId="0" xfId="0" applyNumberFormat="1" applyFont="1" applyFill="1" applyBorder="1" applyAlignment="1">
      <x:alignment horizontal="center"/>
    </x:xf>
    <x:xf numFmtId="0" fontId="22" fillId="19" borderId="0" xfId="0" applyNumberFormat="1" applyFont="1" applyFill="1" applyBorder="1" applyAlignment="1">
      <x:alignment horizontal="center"/>
    </x:xf>
    <x:xf numFmtId="0" fontId="0" fillId="20" borderId="0" xfId="0" applyNumberFormat="1" applyFont="1" applyFill="1" applyBorder="1"/>
    <x:xf numFmtId="0" fontId="23" fillId="20" borderId="0" xfId="0" applyNumberFormat="1" applyFont="1" applyFill="1" applyBorder="1"/>
    <x:xf numFmtId="0" fontId="0" fillId="21" borderId="0" xfId="0" applyNumberFormat="1" applyFont="1" applyFill="1" applyBorder="1"/>
    <x:xf numFmtId="207" fontId="0" fillId="21" borderId="0" xfId="0" applyNumberFormat="1" applyFont="1" applyFill="1" applyBorder="1"/>
    <x:xf numFmtId="0" fontId="24" fillId="21" borderId="0" xfId="0" applyNumberFormat="1" applyFont="1" applyFill="1" applyBorder="1"/>
    <x:xf numFmtId="207" fontId="24" fillId="21" borderId="0" xfId="0" applyNumberFormat="1" applyFont="1" applyFill="1" applyBorder="1"/>
    <x:xf numFmtId="0" fontId="24" fillId="21" borderId="0" xfId="0" applyNumberFormat="1" applyFont="1" applyFill="1" applyBorder="1" applyAlignment="1">
      <x:alignment horizontal="center"/>
    </x:xf>
    <x:xf numFmtId="207" fontId="24" fillId="21" borderId="0" xfId="0" applyNumberFormat="1" applyFont="1" applyFill="1" applyBorder="1" applyAlignment="1">
      <x:alignment horizontal="center"/>
    </x:xf>
    <x:xf numFmtId="0" fontId="24" fillId="21" borderId="0" xfId="0" applyNumberFormat="1" applyFont="1" applyFill="1" applyBorder="1" applyAlignment="1">
      <x:alignment horizontal="center" vertical="center"/>
    </x:xf>
    <x:xf numFmtId="207" fontId="24" fillId="21" borderId="0" xfId="0" applyNumberFormat="1" applyFont="1" applyFill="1" applyBorder="1" applyAlignment="1">
      <x:alignment horizontal="center" vertical="center"/>
    </x:xf>
    <x:xf numFmtId="203" fontId="0" fillId="22" borderId="0" xfId="0" applyNumberFormat="1" applyFont="1" applyFill="1" applyBorder="1"/>
    <x:xf numFmtId="0" fontId="0" fillId="22" borderId="0" xfId="0" applyNumberFormat="1" applyFont="1" applyFill="1" applyBorder="1"/>
    <x:xf numFmtId="202" fontId="0" fillId="8" borderId="2" xfId="0" applyNumberFormat="1" applyFont="1" applyFill="1" applyBorder="1" applyAlignment="1">
      <x:alignment vertical="top"/>
    </x:xf>
    <x:xf numFmtId="203" fontId="0" fillId="23" borderId="0" xfId="0" applyNumberFormat="1" applyFont="1" applyFill="1" applyBorder="1"/>
    <x:xf numFmtId="0" fontId="0" fillId="23" borderId="0" xfId="0" applyNumberFormat="1" applyFont="1" applyFill="1" applyBorder="1"/>
    <x:xf numFmtId="0" fontId="1" fillId="24" borderId="0" xfId="0" applyNumberFormat="1" applyFont="1" applyFill="1" applyBorder="1" applyAlignment="1">
      <x:alignment vertical="center"/>
    </x:xf>
    <x:xf numFmtId="0" fontId="2" fillId="25" borderId="0" xfId="0" applyNumberFormat="1" applyFont="1" applyFill="1" applyBorder="1" applyAlignment="1">
      <x:alignment wrapText="1"/>
    </x:xf>
    <x:xf numFmtId="0" fontId="25" fillId="25" borderId="0" xfId="0" applyNumberFormat="1" applyFont="1" applyFill="1" applyBorder="1" applyAlignment="1">
      <x:alignment wrapText="1"/>
    </x:xf>
    <x:xf numFmtId="0" fontId="25" fillId="25" borderId="0" xfId="0" applyNumberFormat="1" applyFont="1" applyFill="1" applyBorder="1" applyAlignment="1">
      <x:alignment vertical="center" wrapText="1"/>
    </x:xf>
    <x:xf numFmtId="0" fontId="3" fillId="26" borderId="0" xfId="0" applyNumberFormat="1" applyFont="1" applyFill="1" applyBorder="1" applyAlignment="1">
      <x:alignment horizontal="center"/>
    </x:xf>
    <x:xf numFmtId="0" fontId="26" fillId="26" borderId="0" xfId="0" applyNumberFormat="1" applyFont="1" applyFill="1" applyBorder="1" applyAlignment="1">
      <x:alignment horizontal="center"/>
    </x:xf>
    <x:xf numFmtId="0" fontId="26" fillId="26" borderId="0" xfId="0" applyNumberFormat="1" applyFont="1" applyFill="1" applyBorder="1" applyAlignment="1">
      <x:alignment horizontal="center" vertical="center"/>
    </x:xf>
    <x:xf numFmtId="0" fontId="4" fillId="27" borderId="1" xfId="0" applyNumberFormat="1" applyFont="1" applyFill="1" applyBorder="1" applyAlignment="1">
      <x:alignment horizontal="center"/>
    </x:xf>
    <x:xf numFmtId="0" fontId="4" fillId="27" borderId="2" xfId="0" applyNumberFormat="1" applyFont="1" applyFill="1" applyBorder="1" applyAlignment="1">
      <x:alignment horizontal="center"/>
    </x:xf>
    <x:xf numFmtId="200" fontId="4" fillId="27" borderId="2" xfId="0" applyNumberFormat="1" applyFont="1" applyFill="1" applyBorder="1" applyAlignment="1">
      <x:alignment horizontal="center"/>
    </x:xf>
    <x:xf numFmtId="0" fontId="27" fillId="27" borderId="1" xfId="0" applyNumberFormat="1" applyFont="1" applyFill="1" applyBorder="1" applyAlignment="1">
      <x:alignment horizontal="center"/>
    </x:xf>
    <x:xf numFmtId="0" fontId="27" fillId="27" borderId="2" xfId="0" applyNumberFormat="1" applyFont="1" applyFill="1" applyBorder="1" applyAlignment="1">
      <x:alignment horizontal="center"/>
    </x:xf>
    <x:xf numFmtId="200" fontId="27" fillId="27" borderId="2" xfId="0" applyNumberFormat="1" applyFont="1" applyFill="1" applyBorder="1" applyAlignment="1">
      <x:alignment horizontal="center"/>
    </x:xf>
    <x:xf numFmtId="0" fontId="27" fillId="27" borderId="1" xfId="0" applyNumberFormat="1" applyFont="1" applyFill="1" applyBorder="1" applyAlignment="1">
      <x:alignment horizontal="center" vertical="center"/>
    </x:xf>
    <x:xf numFmtId="0" fontId="27" fillId="27" borderId="2" xfId="0" applyNumberFormat="1" applyFont="1" applyFill="1" applyBorder="1" applyAlignment="1">
      <x:alignment horizontal="center" vertical="center"/>
    </x:xf>
    <x:xf numFmtId="200" fontId="27" fillId="27" borderId="2" xfId="0" applyNumberFormat="1" applyFont="1" applyFill="1" applyBorder="1" applyAlignment="1">
      <x:alignment horizontal="center" vertical="center"/>
    </x:xf>
    <x:xf numFmtId="0" fontId="6" fillId="28" borderId="0" xfId="0" applyNumberFormat="1" applyFont="1" applyFill="1" applyBorder="1" applyAlignment="1">
      <x:alignment wrapText="1"/>
    </x:xf>
    <x:xf numFmtId="0" fontId="28" fillId="28" borderId="0" xfId="0" applyNumberFormat="1" applyFont="1" applyFill="1" applyBorder="1" applyAlignment="1">
      <x:alignment wrapText="1"/>
    </x:xf>
    <x:xf numFmtId="0" fontId="28" fillId="28" borderId="0" xfId="0" applyNumberFormat="1" applyFont="1" applyFill="1" applyBorder="1" applyAlignment="1">
      <x:alignment vertical="center" wrapText="1"/>
    </x:xf>
    <x:xf numFmtId="0" fontId="11" fillId="29" borderId="0" xfId="0" applyNumberFormat="1" applyFont="1" applyFill="1" applyBorder="1" applyAlignment="1">
      <x:alignment horizontal="left" vertical="center" wrapText="1"/>
    </x:xf>
    <x:xf numFmtId="0" fontId="29" fillId="29" borderId="0" xfId="0" applyNumberFormat="1" applyFont="1" applyFill="1" applyBorder="1" applyAlignment="1">
      <x:alignment horizontal="left" vertical="center" wrapText="1"/>
    </x:xf>
    <x:xf numFmtId="0" fontId="7" fillId="27" borderId="0" xfId="0" applyNumberFormat="1" applyFont="1" applyFill="1" applyBorder="1"/>
    <x:xf numFmtId="0" fontId="30" fillId="27" borderId="0" xfId="0" applyNumberFormat="1" applyFont="1" applyFill="1" applyBorder="1"/>
    <x:xf numFmtId="0" fontId="30" fillId="27" borderId="0" xfId="0" applyNumberFormat="1" applyFont="1" applyFill="1" applyBorder="1" applyAlignment="1">
      <x:alignment vertical="center"/>
    </x:xf>
    <x:xf numFmtId="208" fontId="27" fillId="27" borderId="1" xfId="0" applyNumberFormat="1" applyFont="1" applyFill="1" applyBorder="1" applyAlignment="1">
      <x:alignment horizontal="center" vertical="center"/>
    </x:xf>
    <x:xf fontId="27" fillId="27" borderId="2" xfId="0" applyNumberFormat="0" applyFont="1" applyFill="1" applyBorder="1" applyAlignment="1">
      <x:alignment horizontal="center" vertical="center"/>
    </x:xf>
    <x:xf numFmtId="208" fontId="27" fillId="27" borderId="2" xfId="0" applyNumberFormat="1" applyFont="1" applyFill="1" applyBorder="1" applyAlignment="1">
      <x:alignment horizontal="center" vertical="center"/>
    </x:xf>
    <x:xf numFmtId="0" fontId="0" fillId="30" borderId="0" xfId="0" applyNumberFormat="1" applyFont="1" applyFill="1" applyBorder="1"/>
    <x:xf numFmtId="0" fontId="8" fillId="30" borderId="0" xfId="0" applyNumberFormat="1" applyFont="1" applyFill="1" applyBorder="1"/>
    <x:xf numFmtId="0" fontId="0" fillId="31" borderId="0" xfId="0" applyNumberFormat="1" applyFont="1" applyFill="1" applyBorder="1"/>
    <x:xf numFmtId="0" fontId="31" fillId="31"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32"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33" borderId="0" xfId="0" applyNumberFormat="1" applyFont="1" applyFill="1" applyBorder="1"/>
    <x:xf numFmtId="0" fontId="0" fillId="33" borderId="0" xfId="0" applyNumberFormat="1" applyFont="1" applyFill="1" applyBorder="1" applyAlignment="1">
      <x:alignment wrapText="1"/>
    </x:xf>
    <x:xf numFmtId="0" fontId="0" fillId="33" borderId="0" xfId="0" applyNumberFormat="1" applyFont="1" applyFill="1" applyBorder="1" applyAlignment="1">
      <x:alignment vertical="center" wrapText="1"/>
    </x:xf>
    <x:xf numFmtId="0" fontId="0" fillId="33" borderId="0" xfId="0" applyNumberFormat="1" applyFont="1" applyFill="1" applyBorder="1" applyAlignment="1">
      <x:alignment horizontal="center" vertical="center" wrapText="1"/>
    </x:xf>
    <x:xf numFmtId="0" fontId="0" fillId="33" borderId="0" xfId="0" applyNumberFormat="1" applyFont="1" applyFill="1" applyBorder="1" applyAlignment="1">
      <x:alignment horizontal="left" vertical="center" wrapText="1"/>
    </x:xf>
    <x:xf numFmtId="202" fontId="0" fillId="33" borderId="0" xfId="0" applyNumberFormat="1" applyFont="1" applyFill="1" applyBorder="1" applyAlignment="1">
      <x:alignment horizontal="center" vertical="center" wrapText="1"/>
    </x:xf>
    <x:xf numFmtId="202" fontId="0" fillId="33" borderId="7" xfId="0" applyNumberFormat="1" applyFont="1" applyFill="1" applyBorder="1" applyAlignment="1">
      <x:alignment horizontal="center" vertical="center" wrapText="1"/>
    </x:xf>
    <x:xf numFmtId="0" fontId="0" fillId="33" borderId="8" xfId="0" applyNumberFormat="1" applyFont="1" applyFill="1" applyBorder="1" applyAlignment="1">
      <x:alignment horizontal="center" vertical="center" wrapText="1"/>
    </x:xf>
    <x:xf numFmtId="0" fontId="0" fillId="33" borderId="8" xfId="0" applyNumberFormat="1" applyFont="1" applyFill="1" applyBorder="1" applyAlignment="1">
      <x:alignment horizontal="left" vertical="center" wrapText="1"/>
    </x:xf>
    <x:xf numFmtId="0" fontId="0" fillId="33" borderId="9"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center" wrapText="1"/>
    </x:xf>
    <x:xf numFmtId="202" fontId="0" fillId="0" borderId="0" xfId="0" applyNumberFormat="1" applyFont="1" applyFill="1" applyBorder="1" applyAlignment="1">
      <x:alignment horizontal="center" vertical="center" wrapText="1"/>
    </x:xf>
    <x:xf numFmtId="201" fontId="0" fillId="33" borderId="7" xfId="0" applyNumberFormat="1" applyFont="1" applyFill="1" applyBorder="1" applyAlignment="1">
      <x:alignment horizontal="center" vertical="center" wrapText="1"/>
    </x:xf>
    <x:xf numFmtId="201" fontId="0" fillId="0" borderId="0" xfId="0" applyNumberFormat="1" applyFont="1" applyFill="1" applyBorder="1" applyAlignment="1">
      <x:alignment horizontal="center" vertical="center" wrapText="1"/>
    </x:xf>
    <x:xf numFmtId="201" fontId="0" fillId="0" borderId="0" xfId="0" applyNumberFormat="1" applyFont="1" applyFill="1" applyBorder="1" applyAlignment="1">
      <x:alignment vertical="center" wrapText="1"/>
    </x:xf>
    <x:xf numFmtId="0" fontId="10" fillId="0" borderId="2" xfId="0" applyNumberFormat="1" applyFont="1" applyFill="1" applyBorder="1" applyAlignment="1">
      <x:alignment horizontal="center" vertical="top" wrapText="1"/>
    </x:xf>
    <x:xf numFmtId="201" fontId="0" fillId="8" borderId="2"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32" fillId="28" borderId="0" xfId="0" applyNumberFormat="1" applyFont="1" applyFill="1" applyBorder="1" applyAlignment="1">
      <x:alignment vertical="center" wrapText="1"/>
    </x:xf>
    <x:xf numFmtId="0" fontId="33" fillId="29" borderId="0" xfId="0" applyNumberFormat="1" applyFont="1" applyFill="1" applyBorder="1" applyAlignment="1">
      <x:alignment horizontal="left" vertical="center" wrapText="1"/>
    </x:xf>
    <x:xf numFmtId="0" fontId="34" fillId="27" borderId="0" xfId="0" applyNumberFormat="1" applyFont="1" applyFill="1" applyBorder="1" applyAlignment="1">
      <x:alignment vertical="center"/>
    </x:xf>
  </x:cellXfs>
  <x:cellStyles count="1">
    <x:cellStyle name="Normal" xfId="0"/>
  </x:cellStyles>
  <x:dxfs count="10">
    <x:dxf>
      <x:font>
        <x:b/>
        <x:color rgb="FF17603A"/>
      </x:font>
      <x:fill>
        <x:patternFill>
          <x:bgColor rgb="FFD8F3E5"/>
        </x:patternFill>
      </x:fill>
    </x:dxf>
    <x:dxf>
      <x:font>
        <x:b/>
        <x:color rgb="FF1C4D7A"/>
      </x:font>
      <x:fill>
        <x:patternFill>
          <x:bgColor rgb="FFDCEBFA"/>
        </x:patternFill>
      </x:fill>
    </x:dxf>
    <x:dxf>
      <x:font>
        <x:b/>
        <x:color rgb="FF7A5500"/>
      </x:font>
      <x:fill>
        <x:patternFill>
          <x:bgColor rgb="FFFFF0C2"/>
        </x:patternFill>
      </x:fill>
    </x:dxf>
    <x:dxf>
      <x:font>
        <x:color rgb="FF53616D"/>
      </x:font>
      <x:fill>
        <x:patternFill>
          <x:bgColor rgb="FFEEF1F4"/>
        </x:patternFill>
      </x:fill>
    </x:dxf>
    <x:dxf>
      <x:font>
        <x:b/>
        <x:color rgb="FF8A1C12"/>
      </x:font>
      <x:fill>
        <x:patternFill>
          <x:bgColor rgb="FFFADBD8"/>
        </x:patternFill>
      </x:fill>
    </x:dxf>
    <x:dxf>
      <x:font>
        <x:color rgb="FFEBEDF0"/>
      </x:font>
      <x:fill>
        <x:patternFill>
          <x:bgColor rgb="FFEBEDF0"/>
        </x:patternFill>
      </x:fill>
    </x:dxf>
    <x:dxf>
      <x:font>
        <x:color rgb="FF9BE9A8"/>
      </x:font>
      <x:fill>
        <x:patternFill>
          <x:bgColor rgb="FF9BE9A8"/>
        </x:patternFill>
      </x:fill>
    </x:dxf>
    <x:dxf>
      <x:font>
        <x:color rgb="FF40C463"/>
      </x:font>
      <x:fill>
        <x:patternFill>
          <x:bgColor rgb="FF40C463"/>
        </x:patternFill>
      </x:fill>
    </x:dxf>
    <x:dxf>
      <x:font>
        <x:color rgb="FF30A14E"/>
      </x:font>
      <x:fill>
        <x:patternFill>
          <x:bgColor rgb="FF30A14E"/>
        </x:patternFill>
      </x:fill>
    </x:dxf>
    <x:dxf>
      <x:font>
        <x:color rgb="FF216E39"/>
      </x:font>
      <x:fill>
        <x:patternFill>
          <x:bgColor rgb="FF216E3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22c1fbfad54066" /><Relationship Type="http://schemas.openxmlformats.org/officeDocument/2006/relationships/theme" Target="/xl/theme/theme1.xml" Id="R7f38218752f0453f" /><Relationship Type="http://schemas.openxmlformats.org/officeDocument/2006/relationships/sharedStrings" Target="/xl/sharedStrings.xml" Id="Rfe0e9bda60534e47" /><Relationship Type="http://schemas.openxmlformats.org/officeDocument/2006/relationships/worksheet" Target="/xl/worksheets/sheet1.xml" Id="Rc3ec61def1704ab9" /><Relationship Type="http://schemas.openxmlformats.org/officeDocument/2006/relationships/worksheet" Target="/xl/worksheets/sheet2.xml" Id="Rdc585897afa5429e" /><Relationship Type="http://schemas.openxmlformats.org/officeDocument/2006/relationships/worksheet" Target="/xl/worksheets/sheet3.xml" Id="Rd1ff3e0bdd9c4670" /></Relationships>
</file>

<file path=xl/tables/table1.xml><?xml version="1.0" encoding="utf-8"?>
<x:table xmlns:x="http://schemas.openxmlformats.org/spreadsheetml/2006/main" id="7" name="ImplementationTasks" displayName="ImplementationTasks" ref="A4:L96" headerRowCount="1" totalsRowCount="0" totalsRowShown="0">
  <x:autoFilter ref="A4:L96"/>
  <x:tableColumns count="12">
    <x:tableColumn id="1" name="ID"/>
    <x:tableColumn id="2" name="完了"/>
    <x:tableColumn id="3" name="カテゴリ"/>
    <x:tableColumn id="4" name="作業領域"/>
    <x:tableColumn id="5" name="タスク"/>
    <x:tableColumn id="6" name="状態"/>
    <x:tableColumn id="7" name="優先度"/>
    <x:tableColumn id="8" name="現状・実績"/>
    <x:tableColumn id="9" name="次の作業"/>
    <x:tableColumn id="10" name="完了条件"/>
    <x:tableColumn id="11" name="関連ファイル／サービス"/>
    <x:tableColumn id="12" name="最終更新日"/>
  </x:tableColumns>
  <x:tableStyleInfo name="TableStyleMedium2" showFirstColumn="0" showLastColumn="0" showRowStripes="1" showColumnStripes="0"/>
</x:table>
</file>

<file path=xl/tables/table2.xml><?xml version="1.0" encoding="utf-8"?>
<x:table xmlns:x="http://schemas.openxmlformats.org/spreadsheetml/2006/main" id="6" name="ProgressHistory" displayName="ProgressHistory" ref="A3:F21" headerRowCount="1" totalsRowCount="0" totalsRowShown="0">
  <x:tableColumns count="6">
    <x:tableColumn id="1" name="更新日"/>
    <x:tableColumn id="2" name="カテゴリ"/>
    <x:tableColumn id="3" name="更新内容"/>
    <x:tableColumn id="4" name="関連タスクID"/>
    <x:tableColumn id="5" name="Gitコミット"/>
    <x:tableColumn id="6" name="更新者・備考"/>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a89c8d1d7248bf" /></Relationships>
</file>

<file path=xl/worksheets/_rels/sheet3.xml.rels>&#65279;<?xml version="1.0" encoding="utf-8"?><Relationships xmlns="http://schemas.openxmlformats.org/package/2006/relationships"><Relationship Type="http://schemas.openxmlformats.org/officeDocument/2006/relationships/table" Target="/xl/tables/table2.xml" Id="Rd4c2d05d4c5740e8"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46" hidden="0" customWidth="1"/>
    <x:col min="9" max="9" width="13" hidden="0" customWidth="1"/>
    <x:col min="10" max="10" width="13" hidden="0" customWidth="1"/>
  </x:cols>
  <x:sheetData>
    <x:row r="1" ht="36" customHeight="1">
      <x:c r="A1" s="175" t="str">
        <x:v>essay_training_system 開発進捗</x:v>
      </x:c>
      <x:c r="B1" s="175" t="str"/>
      <x:c r="C1" s="175" t="str"/>
      <x:c r="D1" s="175" t="str"/>
      <x:c r="E1" s="175" t="str"/>
      <x:c r="F1" s="175" t="str"/>
      <x:c r="G1" s="175" t="str"/>
      <x:c r="H1" s="175" t="str"/>
      <x:c r="I1" s="175" t="str"/>
      <x:c r="J1" s="3"/>
    </x:row>
    <x:row r="2" ht="30" customHeight="1">
      <x:c r="A2" s="178" t="str">
        <x:v>状態は「実装タスク」シートで更新します。作業完了時は状態・現状・次の作業・更新日・更新履歴を必ず更新します。</x:v>
      </x:c>
      <x:c r="B2" s="178" t="str"/>
      <x:c r="C2" s="178" t="str"/>
      <x:c r="D2" s="178" t="str"/>
      <x:c r="E2" s="178" t="str"/>
      <x:c r="F2" s="178" t="str"/>
      <x:c r="G2" s="178" t="str"/>
      <x:c r="H2" s="178" t="str"/>
      <x:c r="I2" s="178" t="str"/>
      <x:c r="J2" s="6"/>
    </x:row>
    <x:row r="3">
      <x:c r="A3"/>
      <x:c r="B3"/>
      <x:c r="C3"/>
      <x:c r="D3"/>
      <x:c r="E3"/>
      <x:c r="F3"/>
      <x:c r="G3"/>
      <x:c r="H3"/>
      <x:c r="I3"/>
    </x:row>
    <x:row r="4" ht="25" customHeight="1">
      <x:c r="A4" s="181" t="str">
        <x:v>総タスク</x:v>
      </x:c>
      <x:c r="B4" s="181" t="str"/>
      <x:c r="C4" s="181" t="str">
        <x:v>完了</x:v>
      </x:c>
      <x:c r="D4" s="181" t="str"/>
      <x:c r="E4" s="181" t="str">
        <x:v>進行中</x:v>
      </x:c>
      <x:c r="F4" s="181" t="str"/>
      <x:c r="G4" s="181" t="str">
        <x:v>要確認</x:v>
      </x:c>
      <x:c r="H4" s="181" t="str"/>
      <x:c r="I4" s="181" t="str">
        <x:v>全体完了率</x:v>
      </x:c>
      <x:c r="J4" s="10"/>
    </x:row>
    <x:row r="5" ht="25" customHeight="1">
      <x:c r="A5" s="199" t="n">
        <x:f>COUNTA('実装タスク'!$A$5:$A$96)</x:f>
        <x:v>92</x:v>
      </x:c>
      <x:c r="B5" s="200" t="str"/>
      <x:c r="C5" s="201" t="n">
        <x:f>COUNTIF('実装タスク'!$F$5:$F$96,"完了")</x:f>
        <x:v>51</x:v>
      </x:c>
      <x:c r="D5" s="200" t="str"/>
      <x:c r="E5" s="201" t="n">
        <x:f>COUNTIF('実装タスク'!$F$5:$F$96,"進行中")</x:f>
        <x:v>14</x:v>
      </x:c>
      <x:c r="F5" s="200" t="str"/>
      <x:c r="G5" s="201" t="n">
        <x:f>COUNTIF('実装タスク'!$F$5:$F$96,"要確認")</x:f>
        <x:v>8</x:v>
      </x:c>
      <x:c r="H5" s="200" t="str"/>
      <x:c r="I5" s="190" t="n">
        <x:f>IFERROR(C5/A5,0)</x:f>
        <x:v>0.5543478260869565</x:v>
      </x:c>
      <x:c r="J5" s="22"/>
    </x:row>
    <x:row r="6">
      <x:c r="A6"/>
      <x:c r="B6"/>
      <x:c r="C6"/>
      <x:c r="D6"/>
      <x:c r="E6"/>
      <x:c r="F6"/>
      <x:c r="G6"/>
      <x:c r="H6"/>
      <x:c r="I6"/>
    </x:row>
    <x:row r="7">
      <x:c r="A7"/>
      <x:c r="B7"/>
      <x:c r="C7"/>
      <x:c r="D7"/>
      <x:c r="E7"/>
      <x:c r="F7"/>
      <x:c r="G7"/>
      <x:c r="H7"/>
      <x:c r="I7"/>
    </x:row>
    <x:row r="8">
      <x:c r="A8" s="25" t="str">
        <x:v>カテゴリ</x:v>
      </x:c>
      <x:c r="B8" s="25" t="str">
        <x:v>完了</x:v>
      </x:c>
      <x:c r="C8" s="25" t="str">
        <x:v>進行中</x:v>
      </x:c>
      <x:c r="D8" s="25" t="str">
        <x:v>未着手</x:v>
      </x:c>
      <x:c r="E8" s="25" t="str">
        <x:v>要確認</x:v>
      </x:c>
      <x:c r="F8" s="25" t="str">
        <x:v>合計</x:v>
      </x:c>
      <x:c r="G8" s="25" t="str">
        <x:v>完了率</x:v>
      </x:c>
      <x:c r="H8" s="25" t="str">
        <x:v>次の主要作業</x:v>
      </x:c>
      <x:c r="I8"/>
    </x:row>
    <x:row r="9" ht="31" customHeight="1">
      <x:c r="A9" s="34" t="str">
        <x:v>基盤・開発環境</x:v>
      </x:c>
      <x:c r="B9" s="36" t="n">
        <x:f>COUNTIFS('実装タスク'!$C$5:$C$96,$A9,'実装タスク'!$F$5:$F$96,"完了")</x:f>
        <x:v>6</x:v>
      </x:c>
      <x:c r="C9" s="36" t="n">
        <x:f>COUNTIFS('実装タスク'!$C$5:$C$96,$A9,'実装タスク'!$F$5:$F$96,"進行中")</x:f>
        <x:v>2</x:v>
      </x:c>
      <x:c r="D9" s="36" t="n">
        <x:f>COUNTIFS('実装タスク'!$C$5:$C$96,$A9,'実装タスク'!$F$5:$F$96,"未着手")</x:f>
        <x:v>0</x:v>
      </x:c>
      <x:c r="E9" s="36" t="n">
        <x:f>COUNTIFS('実装タスク'!$C$5:$C$96,$A9,'実装タスク'!$F$5:$F$96,"要確認")</x:f>
        <x:v>0</x:v>
      </x:c>
      <x:c r="F9" s="36" t="n">
        <x:f>SUM(B9:E9)</x:f>
        <x:v>8</x:v>
      </x:c>
      <x:c r="G9" s="37" t="n">
        <x:f>IFERROR(B9/F9,0)</x:f>
        <x:v>0.75</x:v>
      </x:c>
      <x:c r="H9" s="42" t="str">
        <x:v>.tool-versionsをコミットし、Playwright基盤を追加</x:v>
      </x:c>
      <x:c r="I9"/>
    </x:row>
    <x:row r="10" ht="31" customHeight="1">
      <x:c r="A10" s="35" t="str">
        <x:v>アプリ本体・学習機能</x:v>
      </x:c>
      <x:c r="B10" s="38" t="n">
        <x:f>COUNTIFS('実装タスク'!$C$5:$C$96,$A10,'実装タスク'!$F$5:$F$96,"完了")</x:f>
        <x:v>12</x:v>
      </x:c>
      <x:c r="C10" s="38" t="n">
        <x:f>COUNTIFS('実装タスク'!$C$5:$C$96,$A10,'実装タスク'!$F$5:$F$96,"進行中")</x:f>
        <x:v>2</x:v>
      </x:c>
      <x:c r="D10" s="38" t="n">
        <x:f>COUNTIFS('実装タスク'!$C$5:$C$96,$A10,'実装タスク'!$F$5:$F$96,"未着手")</x:f>
        <x:v>0</x:v>
      </x:c>
      <x:c r="E10" s="38" t="n">
        <x:f>COUNTIFS('実装タスク'!$C$5:$C$96,$A10,'実装タスク'!$F$5:$F$96,"要確認")</x:f>
        <x:v>2</x:v>
      </x:c>
      <x:c r="F10" s="38" t="n">
        <x:f>SUM(B10:E10)</x:f>
        <x:v>16</x:v>
      </x:c>
      <x:c r="G10" s="39" t="n">
        <x:f>IFERROR(B10/F10,0)</x:f>
        <x:v>0.75</x:v>
      </x:c>
      <x:c r="H10" s="43" t="str">
        <x:v>認証済みE2Eで段階1の5問セット・段階7・段階14修了を確認</x:v>
      </x:c>
      <x:c r="I10"/>
    </x:row>
    <x:row r="11" ht="31" customHeight="1">
      <x:c r="A11" s="35" t="str">
        <x:v>カリキュラム</x:v>
      </x:c>
      <x:c r="B11" s="38" t="n">
        <x:f>COUNTIFS('実装タスク'!$C$5:$C$96,$A11,'実装タスク'!$F$5:$F$96,"完了")</x:f>
        <x:v>11</x:v>
      </x:c>
      <x:c r="C11" s="38" t="n">
        <x:f>COUNTIFS('実装タスク'!$C$5:$C$96,$A11,'実装タスク'!$F$5:$F$96,"進行中")</x:f>
        <x:v>0</x:v>
      </x:c>
      <x:c r="D11" s="38" t="n">
        <x:f>COUNTIFS('実装タスク'!$C$5:$C$96,$A11,'実装タスク'!$F$5:$F$96,"未着手")</x:f>
        <x:v>0</x:v>
      </x:c>
      <x:c r="E11" s="38" t="n">
        <x:f>COUNTIFS('実装タスク'!$C$5:$C$96,$A11,'実装タスク'!$F$5:$F$96,"要確認")</x:f>
        <x:v>0</x:v>
      </x:c>
      <x:c r="F11" s="38" t="n">
        <x:f>SUM(B11:E11)</x:f>
        <x:v>11</x:v>
      </x:c>
      <x:c r="G11" s="39" t="n">
        <x:f>IFERROR(B11/F11,0)</x:f>
        <x:v>1</x:v>
      </x:c>
      <x:c r="H11" s="43" t="str">
        <x:v>実利用ログで14段階の負荷・技能分類・標準合格数をレビュー</x:v>
      </x:c>
      <x:c r="I11"/>
    </x:row>
    <x:row r="12" ht="31" customHeight="1">
      <x:c r="A12" s="35" t="str">
        <x:v>認証・アカウント</x:v>
      </x:c>
      <x:c r="B12" s="38" t="n">
        <x:f>COUNTIFS('実装タスク'!$C$5:$C$96,$A12,'実装タスク'!$F$5:$F$96,"完了")</x:f>
        <x:v>6</x:v>
      </x:c>
      <x:c r="C12" s="38" t="n">
        <x:f>COUNTIFS('実装タスク'!$C$5:$C$96,$A12,'実装タスク'!$F$5:$F$96,"進行中")</x:f>
        <x:v>0</x:v>
      </x:c>
      <x:c r="D12" s="38" t="n">
        <x:f>COUNTIFS('実装タスク'!$C$5:$C$96,$A12,'実装タスク'!$F$5:$F$96,"未着手")</x:f>
        <x:v>1</x:v>
      </x:c>
      <x:c r="E12" s="38" t="n">
        <x:f>COUNTIFS('実装タスク'!$C$5:$C$96,$A12,'実装タスク'!$F$5:$F$96,"要確認")</x:f>
        <x:v>0</x:v>
      </x:c>
      <x:c r="F12" s="38" t="n">
        <x:f>SUM(B12:E12)</x:f>
        <x:v>7</x:v>
      </x:c>
      <x:c r="G12" s="39" t="n">
        <x:f>IFERROR(B12/F12,0)</x:f>
        <x:v>0.8571428571428571</x:v>
      </x:c>
      <x:c r="H12" s="43" t="str">
        <x:v>実メールで登録・確認・再設定を検証し、認証済みE2Eを追加</x:v>
      </x:c>
      <x:c r="I12"/>
    </x:row>
    <x:row r="13" ht="31" customHeight="1">
      <x:c r="A13" s="35" t="str">
        <x:v>DB・権限</x:v>
      </x:c>
      <x:c r="B13" s="38" t="n">
        <x:f>COUNTIFS('実装タスク'!$C$5:$C$96,$A13,'実装タスク'!$F$5:$F$96,"完了")</x:f>
        <x:v>10</x:v>
      </x:c>
      <x:c r="C13" s="38" t="n">
        <x:f>COUNTIFS('実装タスク'!$C$5:$C$96,$A13,'実装タスク'!$F$5:$F$96,"進行中")</x:f>
        <x:v>0</x:v>
      </x:c>
      <x:c r="D13" s="38" t="n">
        <x:f>COUNTIFS('実装タスク'!$C$5:$C$96,$A13,'実装タスク'!$F$5:$F$96,"未着手")</x:f>
        <x:v>1</x:v>
      </x:c>
      <x:c r="E13" s="38" t="n">
        <x:f>COUNTIFS('実装タスク'!$C$5:$C$96,$A13,'実装タスク'!$F$5:$F$96,"要確認")</x:f>
        <x:v>0</x:v>
      </x:c>
      <x:c r="F13" s="38" t="n">
        <x:f>SUM(B13:E13)</x:f>
        <x:v>11</x:v>
      </x:c>
      <x:c r="G13" s="39" t="n">
        <x:f>IFERROR(B13/F13,0)</x:f>
        <x:v>0.9090909090909091</x:v>
      </x:c>
      <x:c r="H13" s="43" t="str">
        <x:v>既存利用者の段階ID移行と複数端末同期をE2E確認</x:v>
      </x:c>
      <x:c r="I13"/>
    </x:row>
    <x:row r="14" ht="72" customHeight="1">
      <x:c r="A14" s="35" t="str">
        <x:v>AI添削</x:v>
      </x:c>
      <x:c r="B14" s="38" t="n">
        <x:f>COUNTIFS('実装タスク'!$C$5:$C$96,$A14,'実装タスク'!$F$5:$F$96,"完了")</x:f>
        <x:v>2</x:v>
      </x:c>
      <x:c r="C14" s="38" t="n">
        <x:f>COUNTIFS('実装タスク'!$C$5:$C$96,$A14,'実装タスク'!$F$5:$F$96,"進行中")</x:f>
        <x:v>5</x:v>
      </x:c>
      <x:c r="D14" s="38" t="n">
        <x:f>COUNTIFS('実装タスク'!$C$5:$C$96,$A14,'実装タスク'!$F$5:$F$96,"未着手")</x:f>
        <x:v>0</x:v>
      </x:c>
      <x:c r="E14" s="38" t="n">
        <x:f>COUNTIFS('実装タスク'!$C$5:$C$96,$A14,'実装タスク'!$F$5:$F$96,"要確認")</x:f>
        <x:v>2</x:v>
      </x:c>
      <x:c r="F14" s="38" t="n">
        <x:f>SUM(B14:E14)</x:f>
        <x:v>9</x:v>
      </x:c>
      <x:c r="G14" s="39" t="n">
        <x:f>IFERROR(B14/F14,0)</x:f>
        <x:v>0.2222222222222222</x:v>
      </x:c>
      <x:c r="H14" s="43" t="str">
        <x:v>認証済みE2Eで実Claude問題生成・再利用・添削・履歴復元・実測費用を確認</x:v>
      </x:c>
      <x:c r="I14"/>
    </x:row>
    <x:row r="15" ht="31" customHeight="1">
      <x:c r="A15" s="35" t="str">
        <x:v>課金・利用権</x:v>
      </x:c>
      <x:c r="B15" s="38" t="n">
        <x:f>COUNTIFS('実装タスク'!$C$5:$C$96,$A15,'実装タスク'!$F$5:$F$96,"完了")</x:f>
        <x:v>1</x:v>
      </x:c>
      <x:c r="C15" s="38" t="n">
        <x:f>COUNTIFS('実装タスク'!$C$5:$C$96,$A15,'実装タスク'!$F$5:$F$96,"進行中")</x:f>
        <x:v>0</x:v>
      </x:c>
      <x:c r="D15" s="38" t="n">
        <x:f>COUNTIFS('実装タスク'!$C$5:$C$96,$A15,'実装タスク'!$F$5:$F$96,"未着手")</x:f>
        <x:v>4</x:v>
      </x:c>
      <x:c r="E15" s="38" t="n">
        <x:f>COUNTIFS('実装タスク'!$C$5:$C$96,$A15,'実装タスク'!$F$5:$F$96,"要確認")</x:f>
        <x:v>1</x:v>
      </x:c>
      <x:c r="F15" s="38" t="n">
        <x:f>SUM(B15:E15)</x:f>
        <x:v>6</x:v>
      </x:c>
      <x:c r="G15" s="39" t="n">
        <x:f>IFERROR(B15/F15,0)</x:f>
        <x:v>0.16666666666666666</x:v>
      </x:c>
      <x:c r="H15" s="43" t="str">
        <x:v>学習機能検証後に料金・利用上限を確定</x:v>
      </x:c>
      <x:c r="I15"/>
    </x:row>
    <x:row r="16" ht="31" customHeight="1">
      <x:c r="A16" s="35" t="str">
        <x:v>管理者機能</x:v>
      </x:c>
      <x:c r="B16" s="38" t="n">
        <x:f>COUNTIFS('実装タスク'!$C$5:$C$96,$A16,'実装タスク'!$F$5:$F$96,"完了")</x:f>
        <x:v>0</x:v>
      </x:c>
      <x:c r="C16" s="38" t="n">
        <x:f>COUNTIFS('実装タスク'!$C$5:$C$96,$A16,'実装タスク'!$F$5:$F$96,"進行中")</x:f>
        <x:v>0</x:v>
      </x:c>
      <x:c r="D16" s="38" t="n">
        <x:f>COUNTIFS('実装タスク'!$C$5:$C$96,$A16,'実装タスク'!$F$5:$F$96,"未着手")</x:f>
        <x:v>4</x:v>
      </x:c>
      <x:c r="E16" s="38" t="n">
        <x:f>COUNTIFS('実装タスク'!$C$5:$C$96,$A16,'実装タスク'!$F$5:$F$96,"要確認")</x:f>
        <x:v>0</x:v>
      </x:c>
      <x:c r="F16" s="38" t="n">
        <x:f>SUM(B16:E16)</x:f>
        <x:v>4</x:v>
      </x:c>
      <x:c r="G16" s="39" t="n">
        <x:f>IFERROR(B16/F16,0)</x:f>
        <x:v>0</x:v>
      </x:c>
      <x:c r="H16" s="43" t="str">
        <x:v>認証・DB完成後に管理者ルートを実装</x:v>
      </x:c>
      <x:c r="I16"/>
    </x:row>
    <x:row r="17" ht="31" customHeight="1">
      <x:c r="A17" s="35" t="str">
        <x:v>メール・通知</x:v>
      </x:c>
      <x:c r="B17" s="38" t="n">
        <x:f>COUNTIFS('実装タスク'!$C$5:$C$96,$A17,'実装タスク'!$F$5:$F$96,"完了")</x:f>
        <x:v>0</x:v>
      </x:c>
      <x:c r="C17" s="38" t="n">
        <x:f>COUNTIFS('実装タスク'!$C$5:$C$96,$A17,'実装タスク'!$F$5:$F$96,"進行中")</x:f>
        <x:v>0</x:v>
      </x:c>
      <x:c r="D17" s="38" t="n">
        <x:f>COUNTIFS('実装タスク'!$C$5:$C$96,$A17,'実装タスク'!$F$5:$F$96,"未着手")</x:f>
        <x:v>3</x:v>
      </x:c>
      <x:c r="E17" s="38" t="n">
        <x:f>COUNTIFS('実装タスク'!$C$5:$C$96,$A17,'実装タスク'!$F$5:$F$96,"要確認")</x:f>
        <x:v>0</x:v>
      </x:c>
      <x:c r="F17" s="38" t="n">
        <x:f>SUM(B17:E17)</x:f>
        <x:v>3</x:v>
      </x:c>
      <x:c r="G17" s="39" t="n">
        <x:f>IFERROR(B17/F17,0)</x:f>
        <x:v>0</x:v>
      </x:c>
      <x:c r="H17" s="43" t="str">
        <x:v>認証導線と独自ドメイン確定後に設定</x:v>
      </x:c>
      <x:c r="I17"/>
    </x:row>
    <x:row r="18" ht="31" customHeight="1">
      <x:c r="A18" s="35" t="str">
        <x:v>公開・セキュリティ</x:v>
      </x:c>
      <x:c r="B18" s="38" t="n">
        <x:f>COUNTIFS('実装タスク'!$C$5:$C$96,$A18,'実装タスク'!$F$5:$F$96,"完了")</x:f>
        <x:v>1</x:v>
      </x:c>
      <x:c r="C18" s="38" t="n">
        <x:f>COUNTIFS('実装タスク'!$C$5:$C$96,$A18,'実装タスク'!$F$5:$F$96,"進行中")</x:f>
        <x:v>2</x:v>
      </x:c>
      <x:c r="D18" s="38" t="n">
        <x:f>COUNTIFS('実装タスク'!$C$5:$C$96,$A18,'実装タスク'!$F$5:$F$96,"未着手")</x:f>
        <x:v>2</x:v>
      </x:c>
      <x:c r="E18" s="38" t="n">
        <x:f>COUNTIFS('実装タスク'!$C$5:$C$96,$A18,'実装タスク'!$F$5:$F$96,"要確認")</x:f>
        <x:v>1</x:v>
      </x:c>
      <x:c r="F18" s="38" t="n">
        <x:f>SUM(B18:E18)</x:f>
        <x:v>6</x:v>
      </x:c>
      <x:c r="G18" s="39" t="n">
        <x:f>IFERROR(B18/F18,0)</x:f>
        <x:v>0.16666666666666666</x:v>
      </x:c>
      <x:c r="H18" s="43" t="str">
        <x:v>Supabaseへ検証URLを登録→認証・保存・ユーザー分離をオンラインE2E</x:v>
      </x:c>
      <x:c r="I18"/>
    </x:row>
    <x:row r="19" ht="31" customHeight="1">
      <x:c r="A19" s="35" t="str">
        <x:v>テスト・運用・法務</x:v>
      </x:c>
      <x:c r="B19" s="38" t="n">
        <x:f>COUNTIFS('実装タスク'!$C$5:$C$96,$A19,'実装タスク'!$F$5:$F$96,"完了")</x:f>
        <x:v>2</x:v>
      </x:c>
      <x:c r="C19" s="38" t="n">
        <x:f>COUNTIFS('実装タスク'!$C$5:$C$96,$A19,'実装タスク'!$F$5:$F$96,"進行中")</x:f>
        <x:v>3</x:v>
      </x:c>
      <x:c r="D19" s="38" t="n">
        <x:f>COUNTIFS('実装タスク'!$C$5:$C$96,$A19,'実装タスク'!$F$5:$F$96,"未着手")</x:f>
        <x:v>4</x:v>
      </x:c>
      <x:c r="E19" s="38" t="n">
        <x:f>COUNTIFS('実装タスク'!$C$5:$C$96,$A19,'実装タスク'!$F$5:$F$96,"要確認")</x:f>
        <x:v>2</x:v>
      </x:c>
      <x:c r="F19" s="38" t="n">
        <x:f>SUM(B19:E19)</x:f>
        <x:v>11</x:v>
      </x:c>
      <x:c r="G19" s="39" t="n">
        <x:f>IFERROR(B19/F19,0)</x:f>
        <x:v>0.18181818181818182</x:v>
      </x:c>
      <x:c r="H19" s="43" t="str">
        <x:v>認証済みE2E、Claude異常系、年境界テストを追加</x:v>
      </x:c>
      <x:c r="I19"/>
    </x:row>
    <x:row r="20">
      <x:c r="A20"/>
      <x:c r="B20"/>
      <x:c r="C20"/>
      <x:c r="D20"/>
      <x:c r="E20"/>
      <x:c r="F20"/>
      <x:c r="G20"/>
      <x:c r="H20"/>
      <x:c r="I20"/>
    </x:row>
    <x:row r="21">
      <x:c r="A21"/>
      <x:c r="B21"/>
      <x:c r="C21"/>
      <x:c r="D21"/>
      <x:c r="E21"/>
      <x:c r="F21"/>
      <x:c r="G21"/>
      <x:c r="H21"/>
      <x:c r="I21"/>
    </x:row>
    <x:row r="22" ht="100" customHeight="1">
      <x:c r="A22" s="234" t="str">
        <x:v>現在地: STEP 2で要修正後に合格すると、解説を表示せずSTEP 3へ進む不具合を修正した。原因は、提出保存で次段階が解放された直後に認証・DB状態の再読込が割り込み、未確認の提出結果より現在問題への自動遷移が優先される競合だった。全段階共通で、結果表示待ちを学習者が「解答を修正する」または「次の問題へ」を押すまで保持する。解説は1〜5件を必須とし、画面とDBの両方で0件を拒否する。全18ファイル190テスト、型検査、製品ビルドが成功。Supabase migration適用済み。Cloudflare Version 21a2dec9-ff4e-42a6-b376-a1e8f1e6d6bcへ公開し、トップ・課題一覧HTTP 200を確認。次は公開版でSTEP 2の要修正→再提出合格、一発合格、進級テスト合否の全経路で、解説確認後にのみ次へ進むことを確認する。最終テストでは問題生成・審査・修正・添削の暫定AI上限を所有者へ必ず確認する。</x:v>
      </x:c>
      <x:c r="B22" s="234" t="str"/>
      <x:c r="C22" s="234" t="str"/>
      <x:c r="D22" s="234" t="str"/>
      <x:c r="E22" s="234" t="str"/>
      <x:c r="F22" s="234" t="str"/>
      <x:c r="G22" s="234" t="str"/>
      <x:c r="H22" s="234" t="str"/>
      <x:c r="I22" s="234" t="str"/>
      <x:c r="J22" s="46"/>
    </x:row>
    <x:row r="23" ht="42" customHeight="1">
      <x:c r="A23" s="235" t="str">
        <x:v>進捗は作業単位の更新履歴で管理します。開発者の日次活動と作業時間は記録しません。学習者向け活動グリッドはアプリ機能として維持します。</x:v>
      </x:c>
      <x:c r="B23" s="235" t="str"/>
      <x:c r="C23" s="235" t="str"/>
      <x:c r="D23" s="235" t="str"/>
      <x:c r="E23" s="235" t="str"/>
      <x:c r="F23" s="235" t="str"/>
      <x:c r="G23" s="235" t="str"/>
      <x:c r="H23" s="235" t="str"/>
      <x:c r="I23" s="235" t="str"/>
      <x:c r="J23" s="106"/>
    </x:row>
    <x:row r="24" ht="28" customHeight="1">
      <x:c r="A24" s="236" t="str">
        <x:v>最終更新日: 2026-09-15　｜　進捗の正本: このファイル</x:v>
      </x:c>
      <x:c r="B24" s="236" t="str"/>
      <x:c r="C24" s="236" t="str"/>
      <x:c r="D24" s="236" t="str"/>
      <x:c r="E24" s="236" t="str"/>
      <x:c r="F24" s="236" t="str"/>
      <x:c r="G24" s="236" t="str"/>
      <x:c r="H24" s="236" t="str"/>
      <x:c r="I24" s="236" t="str"/>
      <x:c r="J24" s="47"/>
    </x:row>
  </x:sheetData>
  <x:mergeCells>
    <x:mergeCell ref="A2:I2"/>
    <x:mergeCell ref="A22:I22"/>
    <x:mergeCell ref="A23:I23"/>
    <x:mergeCell ref="A24:I24"/>
  </x:mergeCells>
  <x:conditionalFormatting sqref="G9:G19">
    <x:cfRule type="dataBar" priority="1">
      <x:dataBar>
        <x:cfvo type="min"/>
        <x:cfvo type="max"/>
        <x:color rgb="FF1F6F78"/>
      </x:dataBar>
      <x:extLst>
        <x:ext xmlns:x14="http://schemas.microsoft.com/office/spreadsheetml/2009/9/main" uri="{B025F937-C7B1-47D3-B67F-A62EFF666E3E}">
          <x14:id>{CF024F42-CE96-9AEC-55AE-BF1F9EB834AD}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CF024F42-CE96-9AEC-55AE-BF1F9EB834AD}">
            <x14:dataBar gradient="1">
              <x14:cfvo type="min"/>
              <x14:cfvo type="max"/>
              <x14:fillColor rgb="FF1F6F78"/>
            </x14:dataBar>
          </x14:cfRule>
          <xm:sqref>G9:G19</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7" hidden="0" customWidth="1"/>
    <x:col min="3" max="3" width="22" hidden="0" customWidth="1"/>
    <x:col min="4" max="4" width="16" hidden="0" customWidth="1"/>
    <x:col min="5" max="5" width="38" hidden="0" customWidth="1"/>
    <x:col min="6" max="6" width="12" hidden="0" customWidth="1"/>
    <x:col min="7" max="7" width="9" hidden="0" customWidth="1"/>
    <x:col min="8" max="8" width="36" hidden="0" customWidth="1"/>
    <x:col min="9" max="9" width="36" hidden="0" customWidth="1"/>
    <x:col min="10" max="10" width="36" hidden="0" customWidth="1"/>
    <x:col min="11" max="11" width="34" hidden="0" customWidth="1"/>
    <x:col min="12" max="12" width="14" hidden="0" customWidth="1"/>
  </x:cols>
  <x:sheetData>
    <x:row r="1" ht="34" customHeight="1">
      <x:c r="A1" s="49" t="str">
        <x:v>実装タスク一覧</x:v>
      </x:c>
      <x:c r="B1" s="49"/>
      <x:c r="C1" s="49"/>
      <x:c r="D1" s="49"/>
      <x:c r="E1" s="49"/>
      <x:c r="F1" s="49"/>
      <x:c r="G1" s="49"/>
      <x:c r="H1" s="49"/>
      <x:c r="I1" s="49"/>
      <x:c r="J1" s="49"/>
      <x:c r="K1" s="49"/>
      <x:c r="L1" s="49"/>
    </x:row>
    <x:row r="2" ht="30" customHeight="1">
      <x:c r="A2" s="51" t="str">
        <x:v>黄色の列（状態・優先度・現状・次の作業・更新日）を作業のたびに更新し、更新履歴にも1行追加します。</x:v>
      </x:c>
      <x:c r="B2" s="51"/>
      <x:c r="C2" s="51"/>
      <x:c r="D2" s="51"/>
      <x:c r="E2" s="51"/>
      <x:c r="F2" s="51"/>
      <x:c r="G2" s="51"/>
      <x:c r="H2" s="51"/>
      <x:c r="I2" s="51"/>
      <x:c r="J2" s="51"/>
      <x:c r="K2" s="51"/>
      <x:c r="L2" s="51"/>
    </x:row>
    <x:row r="4" ht="30" customHeight="1">
      <x:c r="A4" s="54" t="str">
        <x:v>ID</x:v>
      </x:c>
      <x:c r="B4" s="54" t="str">
        <x:v>完了</x:v>
      </x:c>
      <x:c r="C4" s="54" t="str">
        <x:v>カテゴリ</x:v>
      </x:c>
      <x:c r="D4" s="54" t="str">
        <x:v>作業領域</x:v>
      </x:c>
      <x:c r="E4" s="54" t="str">
        <x:v>タスク</x:v>
      </x:c>
      <x:c r="F4" s="54" t="str">
        <x:v>状態</x:v>
      </x:c>
      <x:c r="G4" s="54" t="str">
        <x:v>優先度</x:v>
      </x:c>
      <x:c r="H4" s="54" t="str">
        <x:v>現状・実績</x:v>
      </x:c>
      <x:c r="I4" s="54" t="str">
        <x:v>次の作業</x:v>
      </x:c>
      <x:c r="J4" s="54" t="str">
        <x:v>完了条件</x:v>
      </x:c>
      <x:c r="K4" s="54" t="str">
        <x:v>関連ファイル／サービス</x:v>
      </x:c>
      <x:c r="L4" s="54" t="str">
        <x:v>最終更新日</x:v>
      </x:c>
    </x:row>
    <x:row r="5" ht="48" customHeight="1">
      <x:c r="A5" s="60" t="str">
        <x:v>ENV-001</x:v>
      </x:c>
      <x:c r="B5" s="69" t="str">
        <x:f>IF(F5="完了","☑","☐")</x:f>
        <x:v>☑</x:v>
      </x:c>
      <x:c r="C5" s="60" t="str">
        <x:v>基盤・開発環境</x:v>
      </x:c>
      <x:c r="D5" s="60" t="str">
        <x:v>Git</x:v>
      </x:c>
      <x:c r="E5" s="75" t="str">
        <x:v>GitHubリポジトリとmainブランチを作成する</x:v>
      </x:c>
      <x:c r="F5" s="81" t="str">
        <x:v>完了</x:v>
      </x:c>
      <x:c r="G5" s="81" t="str">
        <x:v>P0</x:v>
      </x:c>
      <x:c r="H5" s="82" t="str">
        <x:v>初回コミットとHTTPS Pushが完了。mainとorigin/mainが同期済み</x:v>
      </x:c>
      <x:c r="I5" s="82" t="str">
        <x:v>通常のコミット・Push運用を継続</x:v>
      </x:c>
      <x:c r="J5" s="75" t="str">
        <x:v>GitHub上にmainとコミットが存在する</x:v>
      </x:c>
      <x:c r="K5" s="75" t="str">
        <x:v>.git/</x:v>
      </x:c>
      <x:c r="L5" s="87" t="n">
        <x:v>46258</x:v>
      </x:c>
    </x:row>
    <x:row r="6" ht="48" customHeight="1">
      <x:c r="A6" s="62" t="str">
        <x:v>ENV-002</x:v>
      </x:c>
      <x:c r="B6" s="70" t="str">
        <x:f>IF(F6="完了","☑","☐")</x:f>
        <x:v>☑</x:v>
      </x:c>
      <x:c r="C6" s="62" t="str">
        <x:v>基盤・開発環境</x:v>
      </x:c>
      <x:c r="D6" s="62" t="str">
        <x:v>構成</x:v>
      </x:c>
      <x:c r="E6" s="77" t="str">
        <x:v>ワークスペース直下をGit・アプリのルートに統一する</x:v>
      </x:c>
      <x:c r="F6" s="83" t="str">
        <x:v>完了</x:v>
      </x:c>
      <x:c r="G6" s="83" t="str">
        <x:v>P0</x:v>
      </x:c>
      <x:c r="H6" s="84" t="str">
        <x:v>二重Gitと不要な入れ子を解消。essay_training_system直下へ統合済み</x:v>
      </x:c>
      <x:c r="I6" s="84" t="str">
        <x:v>構成を維持する</x:v>
      </x:c>
      <x:c r="J6" s="77" t="str">
        <x:v>ルート直下にweb、supabase、docsがある</x:v>
      </x:c>
      <x:c r="K6" s="77" t="str">
        <x:v>README.md</x:v>
      </x:c>
      <x:c r="L6" s="88" t="n">
        <x:v>46258</x:v>
      </x:c>
    </x:row>
    <x:row r="7" ht="48" customHeight="1">
      <x:c r="A7" s="62" t="str">
        <x:v>ENV-003</x:v>
      </x:c>
      <x:c r="B7" s="70" t="str">
        <x:f>IF(F7="完了","☑","☐")</x:f>
        <x:v>☑</x:v>
      </x:c>
      <x:c r="C7" s="62" t="str">
        <x:v>基盤・開発環境</x:v>
      </x:c>
      <x:c r="D7" s="62" t="str">
        <x:v>安全管理</x:v>
      </x:c>
      <x:c r="E7" s="77" t="str">
        <x:v>生成物・秘密情報を.gitignoreで除外する</x:v>
      </x:c>
      <x:c r="F7" s="83" t="str">
        <x:v>完了</x:v>
      </x:c>
      <x:c r="G7" s="83" t="str">
        <x:v>P0</x:v>
      </x:c>
      <x:c r="H7" s="84" t="str">
        <x:v>Node、SvelteKit、環境変数、Cloudflare、Supabase状態を除外。除外規則を実ファイルで検証済み</x:v>
      </x:c>
      <x:c r="I7" s="84" t="str">
        <x:v>新しいツール導入時に規則を追加</x:v>
      </x:c>
      <x:c r="J7" s="77" t="str">
        <x:v>.env等がGit対象にならない</x:v>
      </x:c>
      <x:c r="K7" s="77" t="str">
        <x:v>.gitignore</x:v>
      </x:c>
      <x:c r="L7" s="88" t="n">
        <x:v>46258</x:v>
      </x:c>
    </x:row>
    <x:row r="8" ht="48" customHeight="1">
      <x:c r="A8" s="62" t="str">
        <x:v>ENV-004</x:v>
      </x:c>
      <x:c r="B8" s="70" t="str">
        <x:f>IF(F8="完了","☑","☐")</x:f>
        <x:v>☐</x:v>
      </x:c>
      <x:c r="C8" s="62" t="str">
        <x:v>基盤・開発環境</x:v>
      </x:c>
      <x:c r="D8" s="62" t="str">
        <x:v>実行環境</x:v>
      </x:c>
      <x:c r="E8" s="77" t="str">
        <x:v>asdfでこのプロジェクトのNode.js 24.19.0を固定する</x:v>
      </x:c>
      <x:c r="F8" s="83" t="str">
        <x:v>進行中</x:v>
      </x:c>
      <x:c r="G8" s="83" t="str">
        <x:v>P0</x:v>
      </x:c>
      <x:c r="H8" s="84" t="str">
        <x:v>ローカルとGitHubで同じNodeを再現。ローカル設定は完了。.tool-versionsは未コミット</x:v>
      </x:c>
      <x:c r="I8" s="84" t="str">
        <x:v>.tool-versionsをコミット・Pushする</x:v>
      </x:c>
      <x:c r="J8" s="77" t="str">
        <x:v>asdf currentで24.19.0、Gitにも設定がある</x:v>
      </x:c>
      <x:c r="K8" s="77" t="str">
        <x:v>.tool-versions</x:v>
      </x:c>
      <x:c r="L8" s="88" t="n">
        <x:v>46258</x:v>
      </x:c>
    </x:row>
    <x:row r="9" ht="48" customHeight="1">
      <x:c r="A9" s="62" t="str">
        <x:v>ENV-005</x:v>
      </x:c>
      <x:c r="B9" s="70" t="str">
        <x:f>IF(F9="完了","☑","☐")</x:f>
        <x:v>☑</x:v>
      </x:c>
      <x:c r="C9" s="62" t="str">
        <x:v>基盤・開発環境</x:v>
      </x:c>
      <x:c r="D9" s="62" t="str">
        <x:v>パッケージ管理</x:v>
      </x:c>
      <x:c r="E9" s="77" t="str">
        <x:v>pnpm 11.19.0と依存関係を再現可能にする</x:v>
      </x:c>
      <x:c r="F9" s="83" t="str">
        <x:v>完了</x:v>
      </x:c>
      <x:c r="G9" s="83" t="str">
        <x:v>P0</x:v>
      </x:c>
      <x:c r="H9" s="84" t="str">
        <x:v>固定版pnpmでfrozen installが成功。Corepack経由で11.19.0、依存関係は最新</x:v>
      </x:c>
      <x:c r="I9" s="84" t="str">
        <x:v>バージョン更新は計画的に行う</x:v>
      </x:c>
      <x:c r="J9" s="77" t="str">
        <x:v>pnpm install --frozen-lockfileが成功</x:v>
      </x:c>
      <x:c r="K9" s="77" t="str">
        <x:v>web/package.json / web/pnpm-lock.yaml</x:v>
      </x:c>
      <x:c r="L9" s="88" t="n">
        <x:v>46258</x:v>
      </x:c>
    </x:row>
    <x:row r="10" ht="48" customHeight="1">
      <x:c r="A10" s="62" t="str">
        <x:v>ENV-006</x:v>
      </x:c>
      <x:c r="B10" s="70" t="str">
        <x:f>IF(F10="完了","☑","☐")</x:f>
        <x:v>☑</x:v>
      </x:c>
      <x:c r="C10" s="62" t="str">
        <x:v>基盤・開発環境</x:v>
      </x:c>
      <x:c r="D10" s="62" t="str">
        <x:v>CI</x:v>
      </x:c>
      <x:c r="E10" s="77" t="str">
        <x:v>GitHub Actionsで型検査と本番ビルドを行う</x:v>
      </x:c>
      <x:c r="F10" s="83" t="str">
        <x:v>完了</x:v>
      </x:c>
      <x:c r="G10" s="83" t="str">
        <x:v>P1</x:v>
      </x:c>
      <x:c r="H10" s="84" t="str">
        <x:v>Push・PR時にcurriculum:build、check、Vitest、buildを自動実行する構成へ更新</x:v>
      </x:c>
      <x:c r="I10" s="84" t="str">
        <x:v>Playwright導入後にE2EもCIへ追加</x:v>
      </x:c>
      <x:c r="J10" s="77" t="str">
        <x:v>Actionsでcheck/buildが成功</x:v>
      </x:c>
      <x:c r="K10" s="77" t="str">
        <x:v>.github/workflows/verify.yml</x:v>
      </x:c>
      <x:c r="L10" s="172" t="n">
        <x:v>46258</x:v>
      </x:c>
    </x:row>
    <x:row r="11" ht="48" customHeight="1">
      <x:c r="A11" s="62" t="str">
        <x:v>ENV-007</x:v>
      </x:c>
      <x:c r="B11" s="70" t="str">
        <x:f>IF(F11="完了","☑","☐")</x:f>
        <x:v>☐</x:v>
      </x:c>
      <x:c r="C11" s="62" t="str">
        <x:v>基盤・開発環境</x:v>
      </x:c>
      <x:c r="D11" s="62" t="str">
        <x:v>品質基盤</x:v>
      </x:c>
      <x:c r="E11" s="77" t="str">
        <x:v>自動テスト用の共通コマンドを整備する</x:v>
      </x:c>
      <x:c r="F11" s="83" t="str">
        <x:v>進行中</x:v>
      </x:c>
      <x:c r="G11" s="83" t="str">
        <x:v>P0</x:v>
      </x:c>
      <x:c r="H11" s="84" t="str">
        <x:v>Vitest、型検査、製品ビルドをverifyへ統合。認証表示と提出後スクロールを含む10ファイル77テストが成功</x:v>
      </x:c>
      <x:c r="I11" s="84" t="str">
        <x:v>Playwrightで認証・主要学習フローのE2Eを追加</x:v>
      </x:c>
      <x:c r="J11" s="77" t="str">
        <x:v>test、test:e2eが実行できる</x:v>
      </x:c>
      <x:c r="K11" s="77" t="str">
        <x:v>web/package.json / web/vite.config.ts / web/src/**/*.test.ts</x:v>
      </x:c>
      <x:c r="L11" s="88" t="n">
        <x:v>46268</x:v>
      </x:c>
    </x:row>
    <x:row r="12" ht="48" customHeight="1">
      <x:c r="A12" s="62" t="str">
        <x:v>APP-001</x:v>
      </x:c>
      <x:c r="B12" s="70" t="str">
        <x:f>IF(F12="完了","☑","☐")</x:f>
        <x:v>☑</x:v>
      </x:c>
      <x:c r="C12" s="62" t="str">
        <x:v>アプリ本体・学習機能</x:v>
      </x:c>
      <x:c r="D12" s="62" t="str">
        <x:v>基盤</x:v>
      </x:c>
      <x:c r="E12" s="77" t="str">
        <x:v>SvelteKit + TypeScriptのアプリを作成する</x:v>
      </x:c>
      <x:c r="F12" s="83" t="str">
        <x:v>完了</x:v>
      </x:c>
      <x:c r="G12" s="83" t="str">
        <x:v>P0</x:v>
      </x:c>
      <x:c r="H12" s="84" t="str">
        <x:v>ローカル起動・型検査・ビルドが成功。SvelteKit雛形を作成済み</x:v>
      </x:c>
      <x:c r="I12" s="84" t="str">
        <x:v>機能単位でルート・コンポーネントを追加</x:v>
      </x:c>
      <x:c r="J12" s="77" t="str">
        <x:v>pnpm run dev/check/buildが成功</x:v>
      </x:c>
      <x:c r="K12" s="77" t="str">
        <x:v>web/</x:v>
      </x:c>
      <x:c r="L12" s="88" t="n">
        <x:v>46258</x:v>
      </x:c>
    </x:row>
    <x:row r="13" ht="48" customHeight="1">
      <x:c r="A13" s="62" t="str">
        <x:v>APP-002</x:v>
      </x:c>
      <x:c r="B13" s="70" t="str">
        <x:f>IF(F13="完了","☑","☐")</x:f>
        <x:v>☑</x:v>
      </x:c>
      <x:c r="C13" s="62" t="str">
        <x:v>アプリ本体・学習機能</x:v>
      </x:c>
      <x:c r="D13" s="62" t="str">
        <x:v>型</x:v>
      </x:c>
      <x:c r="E13" s="77" t="str">
        <x:v>認証・利用権・添削結果の境界型を定義する</x:v>
      </x:c>
      <x:c r="F13" s="83" t="str">
        <x:v>完了</x:v>
      </x:c>
      <x:c r="G13" s="83" t="str">
        <x:v>P1</x:v>
      </x:c>
      <x:c r="H13" s="84" t="str">
        <x:v>外部サービスから学習ロジックを分離。UserSession、AccessState、FeedbackResultを定義済み</x:v>
      </x:c>
      <x:c r="I13" s="84" t="str">
        <x:v>実API実装時に型を検証へ接続</x:v>
      </x:c>
      <x:c r="J13" s="77" t="str">
        <x:v>共通型が機能から参照される</x:v>
      </x:c>
      <x:c r="K13" s="77" t="str">
        <x:v>web/src/lib/types/contracts.ts</x:v>
      </x:c>
      <x:c r="L13" s="88" t="n">
        <x:v>46258</x:v>
      </x:c>
    </x:row>
    <x:row r="14" ht="48" customHeight="1">
      <x:c r="A14" s="62" t="str">
        <x:v>APP-003</x:v>
      </x:c>
      <x:c r="B14" s="70" t="str">
        <x:f>IF(F14="完了","☑","☐")</x:f>
        <x:v>☑</x:v>
      </x:c>
      <x:c r="C14" s="62" t="str">
        <x:v>アプリ本体・学習機能</x:v>
      </x:c>
      <x:c r="D14" s="62" t="str">
        <x:v>画面</x:v>
      </x:c>
      <x:c r="E14" s="77" t="str">
        <x:v>課題入力とモック添削を1画面で確認できるようにする</x:v>
      </x:c>
      <x:c r="F14" s="83" t="str">
        <x:v>完了</x:v>
      </x:c>
      <x:c r="G14" s="83" t="str">
        <x:v>P1</x:v>
      </x:c>
      <x:c r="H14" s="84" t="str">
        <x:v>段階2の指定文を基準に、全13段階のヒントを原則二文・具体例付きの文体へ統一。段階1〜6では解答例と解説をヒント直下に表示。課題選択の内部処理を説明する不要な案内文は課題ページへ表示しない。</x:v>
      </x:c>
      <x:c r="I14" s="84" t="str">
        <x:v>認証済みE2Eで全段階のヒント、解答例・解説、段階7以降の非表示、スマホ幅を確認</x:v>
      </x:c>
      <x:c r="J14" s="77" t="str">
        <x:v>ブラウザで一連の操作が可能</x:v>
      </x:c>
      <x:c r="K14" s="77" t="str">
        <x:v>web/src/routes/tasks/[taskId]/+page.svelte / web/src/app.css</x:v>
      </x:c>
      <x:c r="L14" s="88" t="n">
        <x:v>46268</x:v>
      </x:c>
    </x:row>
    <x:row r="15" ht="48" customHeight="1">
      <x:c r="A15" s="62" t="str">
        <x:v>APP-004</x:v>
      </x:c>
      <x:c r="B15" s="70" t="str">
        <x:f>IF(F15="完了","☑","☐")</x:f>
        <x:v>☑</x:v>
      </x:c>
      <x:c r="C15" s="62" t="str">
        <x:v>アプリ本体・学習機能</x:v>
      </x:c>
      <x:c r="D15" s="62" t="str">
        <x:v>画面構成</x:v>
      </x:c>
      <x:c r="E15" s="77" t="str">
        <x:v>アプリのルートとナビゲーションを設計する</x:v>
      </x:c>
      <x:c r="F15" s="83" t="str">
        <x:v>完了</x:v>
      </x:c>
      <x:c r="G15" s="83" t="str">
        <x:v>P0</x:v>
      </x:c>
      <x:c r="H15" s="84" t="str">
        <x:v>ホーム・課題・履歴・進捗の導線を整理。課題トップの「復習する」「学習に戻る」は、段階変更を保存した直後に対象段階の未提出問題または次の問題へ直接移動する。一度最上部へ戻って「取り組む」を押す操作を廃止した。</x:v>
      </x:c>
      <x:c r="I15" s="84" t="str">
        <x:v>公開版で下部にある完了済み段階と最高到達段階を選び、1回のクリックで正しい問題画面へ移ることを確認する。</x:v>
      </x:c>
      <x:c r="J15" s="77" t="str">
        <x:v>主要画面へURLで移動できる</x:v>
      </x:c>
      <x:c r="K15" s="77" t="str">
        <x:v>web/src/routes/tasks/+page.svelte / docs/architecture.md</x:v>
      </x:c>
      <x:c r="L15" s="88" t="n">
        <x:v>46275</x:v>
      </x:c>
    </x:row>
    <x:row r="16" ht="125" customHeight="1">
      <x:c r="A16" s="77" t="str">
        <x:v>APP-005</x:v>
      </x:c>
      <x:c r="B16" s="231" t="str">
        <x:f>IF(F16="完了","☑","☐")</x:f>
        <x:v>☑</x:v>
      </x:c>
      <x:c r="C16" s="77" t="str">
        <x:v>アプリ本体・学習機能</x:v>
      </x:c>
      <x:c r="D16" s="77" t="str">
        <x:v>課題</x:v>
      </x:c>
      <x:c r="E16" s="77" t="str">
        <x:v>課題一覧・課題詳細を実装する</x:v>
      </x:c>
      <x:c r="F16" s="83" t="str">
        <x:v>完了</x:v>
      </x:c>
      <x:c r="G16" s="83" t="str">
        <x:v>P0</x:v>
      </x:c>
      <x:c r="H16" s="84" t="str">
        <x:v>ホーム・課題トップ・課題詳細・進捗画面の問題文へ共通の改行表示を適用。STEP 2は指示の後に内容①・内容②を段落として表示し、STEP 3〜12も文①・文②、指定文数、作業手順、構成項目などを行ごとに整理。既存の問題履歴も表示版v8として現行レイアウトを復元。Cloudflare Version 40b368b6-efd2-4dbf-8e83-16cca5b3748eへ公開済み。</x:v>
      </x:c>
      <x:c r="I16" s="84" t="str">
        <x:v>Cloudflare公開後、ホーム・課題トップ・課題詳細でSTEP 2の内容①・内容②と、STEP 3以降の複数文・資料付き問題を確認する。</x:v>
      </x:c>
      <x:c r="J16" s="77" t="str">
        <x:v>複数課題を表示・選択できる</x:v>
      </x:c>
      <x:c r="K16" s="77" t="str">
        <x:v>web/src/routes/tasks/ / web/src/lib/data/curriculum.json</x:v>
      </x:c>
      <x:c r="L16" s="232" t="n">
        <x:v>46271</x:v>
      </x:c>
    </x:row>
    <x:row r="17" ht="110" customHeight="1">
      <x:c r="A17" s="77" t="str">
        <x:v>APP-006</x:v>
      </x:c>
      <x:c r="B17" s="231" t="str">
        <x:v>☑</x:v>
      </x:c>
      <x:c r="C17" s="77" t="str">
        <x:v>アプリ本体・学習機能</x:v>
      </x:c>
      <x:c r="D17" s="77" t="str">
        <x:v>下書き</x:v>
      </x:c>
      <x:c r="E17" s="77" t="str">
        <x:v>下書き自動保存と復元を実装する</x:v>
      </x:c>
      <x:c r="F17" s="83" t="str">
        <x:v>完了</x:v>
      </x:c>
      <x:c r="G17" s="83" t="str">
        <x:v>P0</x:v>
      </x:c>
      <x:c r="H17" s="84" t="str">
        <x:v>要修正の再表示では、正式添削結果に保存された通常版またはやさしい版の一種類だけを入力欄の直前へ復元する。追加生成された別解説の読込と保存は廃止した。正解済み解答と下書きの復元は維持。</x:v>
      </x:c>
      <x:c r="I17" s="84" t="str">
        <x:v>実アカウントで設定OFF/ONそれぞれの要修正→画面再読込→再提出を行い、同じ一種類の解説と下書き・正解済み解答が保持されることを確認する。</x:v>
      </x:c>
      <x:c r="J17" s="77" t="str">
        <x:v>再読込後も下書きが復元される</x:v>
      </x:c>
      <x:c r="K17" s="77" t="str">
        <x:v>web/src/lib/features/learning/learning-service.ts / web/src/lib/features/learning/save-queue.ts / web/src/routes/tasks/</x:v>
      </x:c>
      <x:c r="L17" s="232" t="n">
        <x:v>46274</x:v>
      </x:c>
    </x:row>
    <x:row r="18" ht="155" customHeight="1">
      <x:c r="A18" s="77" t="str">
        <x:v>APP-007</x:v>
      </x:c>
      <x:c r="B18" s="231" t="str">
        <x:v>☐</x:v>
      </x:c>
      <x:c r="C18" s="77" t="str">
        <x:v>アプリ本体・学習機能</x:v>
      </x:c>
      <x:c r="D18" s="77" t="str">
        <x:v>提出</x:v>
      </x:c>
      <x:c r="E18" s="77" t="str">
        <x:v>正式提出・添削結果・書き直しを実装する</x:v>
      </x:c>
      <x:c r="F18" s="83" t="str">
        <x:v>要確認</x:v>
      </x:c>
      <x:c r="G18" s="83" t="str">
        <x:v>P0</x:v>
      </x:c>
      <x:c r="H18" s="84" t="str">
        <x:v>正式提出・添削・書き直しに加え、提出成功後の結果表示待ち状態を同一タブへ保持する。要修正後の合格、一発合格、進級テストの合否は、認証・DB状態の再読込が起きても結果と解説を復元し、学習者が「解答を修正する」または「次の問題へ」を選ぶまで自動遷移しない。</x:v>
      </x:c>
      <x:c r="I18" s="84" t="str">
        <x:v>認証済み公開画面でSTEP 2の要修正→修正→合格を行い、3問すべての解説を確認してから「次の問題へ」でSTEP 3へ進むことを確認する。あわせて一発合格と進級テストの合否でも同じ結果表示を確認する。</x:v>
      </x:c>
      <x:c r="J18" s="77" t="str">
        <x:v>提出状態と結果が永続化される</x:v>
      </x:c>
      <x:c r="K18" s="77" t="str">
        <x:v>web/src/routes/tasks/[taskId]/+page.svelte / web/src/lib/features/learning/submission-workflow.ts / progression.ts</x:v>
      </x:c>
      <x:c r="L18" s="232" t="n">
        <x:v>46280</x:v>
      </x:c>
    </x:row>
    <x:row r="19" ht="155" customHeight="1">
      <x:c r="A19" s="77" t="str">
        <x:v>APP-008</x:v>
      </x:c>
      <x:c r="B19" s="231" t="str">
        <x:v>☐</x:v>
      </x:c>
      <x:c r="C19" s="77" t="str">
        <x:v>アプリ本体・学習機能</x:v>
      </x:c>
      <x:c r="D19" s="77" t="str">
        <x:v>履歴・進捗</x:v>
      </x:c>
      <x:c r="E19" s="77" t="str">
        <x:v>提出履歴と学習進捗を表示する</x:v>
      </x:c>
      <x:c r="F19" s="83" t="str">
        <x:v>進行中</x:v>
      </x:c>
      <x:c r="G19" s="83" t="str">
        <x:v>P1</x:v>
      </x:c>
      <x:c r="H19" s="84" t="str">
        <x:v>提出履歴と進捗を表示。段階状態を「完了」「復習中」「学習中」「未完了」に分け、復習から最高到達段階へ戻る操作を「学習に戻る」と表示する。復習によって先の段階を閉じない。</x:v>
      </x:c>
      <x:c r="I19" s="84" t="str">
        <x:v>認証済みE2Eで全段階の進級、ページ移動、復習、最高到達段階への復帰を確認する。</x:v>
      </x:c>
      <x:c r="J19" s="77" t="str">
        <x:v>ユーザー自身の履歴だけが表示される</x:v>
      </x:c>
      <x:c r="K19" s="77" t="str">
        <x:v>web/src/routes/ / web/src/lib/features/learning/learning-service.ts</x:v>
      </x:c>
      <x:c r="L19" s="232" t="n">
        <x:v>46272</x:v>
      </x:c>
    </x:row>
    <x:row r="20" ht="48" customHeight="1">
      <x:c r="A20" s="62" t="str">
        <x:v>APP-009</x:v>
      </x:c>
      <x:c r="B20" s="70" t="str">
        <x:f>IF(F20="完了","☑","☐")</x:f>
        <x:v>☐</x:v>
      </x:c>
      <x:c r="C20" s="62" t="str">
        <x:v>アプリ本体・学習機能</x:v>
      </x:c>
      <x:c r="D20" s="62" t="str">
        <x:v>PWA</x:v>
      </x:c>
      <x:c r="E20" s="77" t="str">
        <x:v>manifest、アイコン、インストール対応を追加する</x:v>
      </x:c>
      <x:c r="F20" s="83" t="str">
        <x:v>進行中</x:v>
      </x:c>
      <x:c r="G20" s="83" t="str">
        <x:v>P2</x:v>
      </x:c>
      <x:c r="H20" s="84" t="str">
        <x:v>manifest、SVGアイコン、service workerを追加し、本番ビルドにservice-worker.jsが生成</x:v>
      </x:c>
      <x:c r="I20" s="84" t="str">
        <x:v>Cloudflareアダプター設定後に実端末でインストール確認</x:v>
      </x:c>
      <x:c r="J20" s="77" t="str">
        <x:v>インストール判定とアイコン表示が成功</x:v>
      </x:c>
      <x:c r="K20" s="77" t="str">
        <x:v>web/static/manifest.webmanifest / web/src/service-worker.ts</x:v>
      </x:c>
      <x:c r="L20" s="88" t="n">
        <x:v>46258</x:v>
      </x:c>
    </x:row>
    <x:row r="21" ht="48" customHeight="1">
      <x:c r="A21" s="62" t="str">
        <x:v>CUR-001</x:v>
      </x:c>
      <x:c r="B21" s="70" t="str">
        <x:f>IF(F21="完了","☑","☐")</x:f>
        <x:v>☑</x:v>
      </x:c>
      <x:c r="C21" s="62" t="str">
        <x:v>カリキュラム</x:v>
      </x:c>
      <x:c r="D21" s="62" t="str">
        <x:v>原本</x:v>
      </x:c>
      <x:c r="E21" s="77" t="str">
        <x:v>カリキュラムExcelを正本として配置する</x:v>
      </x:c>
      <x:c r="F21" s="83" t="str">
        <x:v>完了</x:v>
      </x:c>
      <x:c r="G21" s="83" t="str">
        <x:v>P0</x:v>
      </x:c>
      <x:c r="H21" s="84" t="str">
        <x:v>Git管理下に原本Excelがある。curriculum-designへ配置済み</x:v>
      </x:c>
      <x:c r="I21" s="84" t="str">
        <x:v>変更時は変換結果も更新</x:v>
      </x:c>
      <x:c r="J21" s="77" t="str">
        <x:v>Excelがリポジトリ内に存在する</x:v>
      </x:c>
      <x:c r="K21" s="77" t="str">
        <x:v>curriculum-design/小論文添削サービス_カリキュラム設計.xlsx</x:v>
      </x:c>
      <x:c r="L21" s="88" t="n">
        <x:v>46258</x:v>
      </x:c>
    </x:row>
    <x:row r="22" ht="48" customHeight="1">
      <x:c r="A22" s="62" t="str">
        <x:v>CUR-002</x:v>
      </x:c>
      <x:c r="B22" s="70" t="str">
        <x:f>IF(F22="完了","☑","☐")</x:f>
        <x:v>☑</x:v>
      </x:c>
      <x:c r="C22" s="62" t="str">
        <x:v>カリキュラム</x:v>
      </x:c>
      <x:c r="D22" s="62" t="str">
        <x:v>データ確認</x:v>
      </x:c>
      <x:c r="E22" s="77" t="str">
        <x:v>段階13の重複評価項目を確認・整理する</x:v>
      </x:c>
      <x:c r="F22" s="83" t="str">
        <x:v>完了</x:v>
      </x:c>
      <x:c r="G22" s="83" t="str">
        <x:v>P0</x:v>
      </x:c>
      <x:c r="H22" s="84" t="str">
        <x:v>段階13とAI指示設計の完全一致重複を3件ずつ確認。変換時に完全一致だけ除外する方針を設計正本へ記録</x:v>
      </x:c>
      <x:c r="I22" s="84" t="str">
        <x:v>次回の教育内容編集時に原本側の重複行も削除</x:v>
      </x:c>
      <x:c r="J22" s="77" t="str">
        <x:v>重複が解消または意図が記録される</x:v>
      </x:c>
      <x:c r="K22" s="77" t="str">
        <x:v>curriculum-design/小論文添削サービス_カリキュラム設計.xlsx / docs/architecture.md</x:v>
      </x:c>
      <x:c r="L22" s="88" t="n">
        <x:v>46258</x:v>
      </x:c>
    </x:row>
    <x:row r="23" ht="48" customHeight="1">
      <x:c r="A23" s="62" t="str">
        <x:v>CUR-003</x:v>
      </x:c>
      <x:c r="B23" s="70" t="str">
        <x:f>IF(F23="完了","☑","☐")</x:f>
        <x:v>☑</x:v>
      </x:c>
      <x:c r="C23" s="62" t="str">
        <x:v>カリキュラム</x:v>
      </x:c>
      <x:c r="D23" s="62" t="str">
        <x:v>変換</x:v>
      </x:c>
      <x:c r="E23" s="77" t="str">
        <x:v>ExcelからJSONへ変換するTypeScript処理を作る</x:v>
      </x:c>
      <x:c r="F23" s="83" t="str">
        <x:v>完了</x:v>
      </x:c>
      <x:c r="G23" s="83" t="str">
        <x:v>P0</x:v>
      </x:c>
      <x:c r="H23" s="84" t="str">
        <x:v>Excelを正規化して段階・ルーブリック・日本語チェックを決定的JSONへ変換するTypeScript処理を実装</x:v>
      </x:c>
      <x:c r="I23" s="84" t="str">
        <x:v>原本変更時はpnpm curriculum:buildを実行</x:v>
      </x:c>
      <x:c r="J23" s="77" t="str">
        <x:v>変換コマンドが正常終了する</x:v>
      </x:c>
      <x:c r="K23" s="77" t="str">
        <x:v>web/scripts/convert-curriculum.ts</x:v>
      </x:c>
      <x:c r="L23" s="88" t="n">
        <x:v>46258</x:v>
      </x:c>
    </x:row>
    <x:row r="24" ht="48" customHeight="1">
      <x:c r="A24" s="62" t="str">
        <x:v>CUR-004</x:v>
      </x:c>
      <x:c r="B24" s="70" t="str">
        <x:f>IF(F24="完了","☑","☐")</x:f>
        <x:v>☑</x:v>
      </x:c>
      <x:c r="C24" s="62" t="str">
        <x:v>カリキュラム</x:v>
      </x:c>
      <x:c r="D24" s="62" t="str">
        <x:v>検証</x:v>
      </x:c>
      <x:c r="E24" s="77" t="str">
        <x:v>生成JSONのスキーマと検証処理を作る</x:v>
      </x:c>
      <x:c r="F24" s="83" t="str">
        <x:v>完了</x:v>
      </x:c>
      <x:c r="G24" s="83" t="str">
        <x:v>P0</x:v>
      </x:c>
      <x:c r="H24" s="84" t="str">
        <x:v>段階0〜13、必須項目、重複識別子を検証し、不正データを拒否する処理とVitestを追加</x:v>
      </x:c>
      <x:c r="I24" s="84" t="str">
        <x:v>カリキュラム項目追加時に検証規則も更新</x:v>
      </x:c>
      <x:c r="J24" s="77" t="str">
        <x:v>不正な入力でテストが失敗する</x:v>
      </x:c>
      <x:c r="K24" s="77" t="str">
        <x:v>web/src/lib/data/curriculum.ts / web/src/lib/data/curriculum.test.ts</x:v>
      </x:c>
      <x:c r="L24" s="88" t="n">
        <x:v>46258</x:v>
      </x:c>
    </x:row>
    <x:row r="25" ht="48" customHeight="1">
      <x:c r="A25" s="62" t="str">
        <x:v>CUR-005</x:v>
      </x:c>
      <x:c r="B25" s="70" t="str">
        <x:f>IF(F25="完了","☑","☐")</x:f>
        <x:v>☑</x:v>
      </x:c>
      <x:c r="C25" s="62" t="str">
        <x:v>カリキュラム</x:v>
      </x:c>
      <x:c r="D25" s="62" t="str">
        <x:v>生成物</x:v>
      </x:c>
      <x:c r="E25" s="77" t="str">
        <x:v>アプリ用カリキュラムJSONを生成する</x:v>
      </x:c>
      <x:c r="F25" s="83" t="str">
        <x:v>完了</x:v>
      </x:c>
      <x:c r="G25" s="83" t="str">
        <x:v>P0</x:v>
      </x:c>
      <x:c r="H25" s="84" t="str">
        <x:v>STEP 1〜3は各10セットを維持し、STEP 4〜14は大学入試小論文を想定した78の共通論点へ拡張。全858題で設問・主張・理由・具体例・反対意見・結論の向きを段階間で統一した。カリキュラム全体は888課題。</x:v>
      </x:c>
      <x:c r="I25" s="84" t="str">
        <x:v>代表論点を実画面で確認し、入試課題としての難易度・語彙・論点の偏りを継続監査する。</x:v>
      </x:c>
      <x:c r="J25" s="77" t="str">
        <x:v>生成結果が検証を通る</x:v>
      </x:c>
      <x:c r="K25" s="77" t="str">
        <x:v>web/src/lib/data/essay-topic-bank.ts / web/scripts/practice-bank.ts / web/src/lib/data/curriculum.json</x:v>
      </x:c>
      <x:c r="L25" s="88" t="n">
        <x:v>46275</x:v>
      </x:c>
    </x:row>
    <x:row r="26" ht="48" customHeight="1">
      <x:c r="A26" s="62" t="str">
        <x:v>CUR-006</x:v>
      </x:c>
      <x:c r="B26" s="70" t="str">
        <x:v>☑</x:v>
      </x:c>
      <x:c r="C26" s="62" t="str">
        <x:v>カリキュラム</x:v>
      </x:c>
      <x:c r="D26" s="62" t="str">
        <x:v>画面連携</x:v>
      </x:c>
      <x:c r="E26" s="77" t="str">
        <x:v>カリキュラムJSONを課題画面へ接続する</x:v>
      </x:c>
      <x:c r="F26" s="83" t="str">
        <x:v>完了</x:v>
      </x:c>
      <x:c r="G26" s="83" t="str">
        <x:v>P0</x:v>
      </x:c>
      <x:c r="H26" s="84" t="str">
        <x:v>STEP 1は5問×10セット、STEP 2・3は3問×10セットの個別設計を維持。STEP 4〜14へ78論点を接続し、設定に応じて固定論点または学習者の自由テーマを使う構成へ更新した。</x:v>
      </x:c>
      <x:c r="I26" s="84" t="str">
        <x:v>公開画面でSTEP 4・7・9・14の固定論点と自由テーマ問題を解き、指示の理解しやすさと自然な別解のClaude判定を確認する。</x:v>
      </x:c>
      <x:c r="J26" s="77" t="str">
        <x:v>Excel由来の課題が画面に出る</x:v>
      </x:c>
      <x:c r="K26" s="77" t="str">
        <x:v>web/src/lib/data/essay-topic-bank.ts / web/src/lib/features/learning/problem-generator.ts / web/src/lib/data/curriculum.test.ts</x:v>
      </x:c>
      <x:c r="L26" s="88" t="n">
        <x:v>46275</x:v>
      </x:c>
    </x:row>
    <x:row r="27" ht="48" customHeight="1">
      <x:c r="A27" s="62" t="str">
        <x:v>AUTH-001</x:v>
      </x:c>
      <x:c r="B27" s="70" t="str">
        <x:v>☑</x:v>
      </x:c>
      <x:c r="C27" s="62" t="str">
        <x:v>認証・アカウント</x:v>
      </x:c>
      <x:c r="D27" s="62" t="str">
        <x:v>仕様</x:v>
      </x:c>
      <x:c r="E27" s="77" t="str">
        <x:v>メール認証方式を確定する</x:v>
      </x:c>
      <x:c r="F27" s="83" t="str">
        <x:v>完了</x:v>
      </x:c>
      <x:c r="G27" s="83" t="str">
        <x:v>P0</x:v>
      </x:c>
      <x:c r="H27" s="84" t="str">
        <x:v>メール＋パスワード認証を採用。確認メール・再設定メールの導線も設計書へ記録</x:v>
      </x:c>
      <x:c r="I27" s="84" t="str">
        <x:v>Supabase DashboardでEmailとURL allow-listを設定し、実メールで確認</x:v>
      </x:c>
      <x:c r="J27" s="77" t="str">
        <x:v>認証導線が設計書に記録される</x:v>
      </x:c>
      <x:c r="K27" s="77" t="str">
        <x:v>docs/architecture.md / docs/supabase-local-setup.md</x:v>
      </x:c>
      <x:c r="L27" s="88" t="n">
        <x:v>46258</x:v>
      </x:c>
    </x:row>
    <x:row r="28" ht="48" customHeight="1">
      <x:c r="A28" s="62" t="str">
        <x:v>AUTH-002</x:v>
      </x:c>
      <x:c r="B28" s="70" t="str">
        <x:v>☑</x:v>
      </x:c>
      <x:c r="C28" s="62" t="str">
        <x:v>認証・アカウント</x:v>
      </x:c>
      <x:c r="D28" s="62" t="str">
        <x:v>Supabase</x:v>
      </x:c>
      <x:c r="E28" s="77" t="str">
        <x:v>開発用Supabaseプロジェクトを作成する</x:v>
      </x:c>
      <x:c r="F28" s="83" t="str">
        <x:v>完了</x:v>
      </x:c>
      <x:c r="G28" s="83" t="str">
        <x:v>P0</x:v>
      </x:c>
      <x:c r="H28" s="84" t="str">
        <x:v>開発用Supabaseプロジェクトを作成し、Project URLとPublishable keyを取得済み</x:v>
      </x:c>
      <x:c r="I28" s="84" t="str">
        <x:v>web/.env.localへ接続情報を設定して、開発サーバーを再起動</x:v>
      </x:c>
      <x:c r="J28" s="77" t="str">
        <x:v>ローカルから接続確認できる</x:v>
      </x:c>
      <x:c r="K28" s="77" t="str">
        <x:v>Supabase Dashboard / web/.env.local</x:v>
      </x:c>
      <x:c r="L28" s="88" t="n">
        <x:v>46258</x:v>
      </x:c>
    </x:row>
    <x:row r="29" ht="48" customHeight="1">
      <x:c r="A29" s="62" t="str">
        <x:v>AUTH-003</x:v>
      </x:c>
      <x:c r="B29" s="70" t="str">
        <x:v>☑</x:v>
      </x:c>
      <x:c r="C29" s="62" t="str">
        <x:v>認証・アカウント</x:v>
      </x:c>
      <x:c r="D29" s="62" t="str">
        <x:v>クライアント</x:v>
      </x:c>
      <x:c r="E29" s="77" t="str">
        <x:v>SvelteKitへSupabaseクライアントを接続する</x:v>
      </x:c>
      <x:c r="F29" s="83" t="str">
        <x:v>完了</x:v>
      </x:c>
      <x:c r="G29" s="83" t="str">
        <x:v>P0</x:v>
      </x:c>
      <x:c r="H29" s="84" t="str">
        <x:v>Supabaseクライアントを公開環境変数とDatabase型で初期化し、境界の型安全性を向上</x:v>
      </x:c>
      <x:c r="I29" s="84" t="str">
        <x:v>実接続後にセッション取得と型どおりの読書きを確認</x:v>
      </x:c>
      <x:c r="J29" s="77" t="str">
        <x:v>セッション取得が成功する</x:v>
      </x:c>
      <x:c r="K29" s="77" t="str">
        <x:v>web/src/lib/services/supabase.ts / web/src/lib/types/database.ts</x:v>
      </x:c>
      <x:c r="L29" s="88" t="n">
        <x:v>46259</x:v>
      </x:c>
    </x:row>
    <x:row r="30" ht="48" customHeight="1">
      <x:c r="A30" s="62" t="str">
        <x:v>AUTH-004</x:v>
      </x:c>
      <x:c r="B30" s="70" t="str">
        <x:v>☑</x:v>
      </x:c>
      <x:c r="C30" s="62" t="str">
        <x:v>認証・アカウント</x:v>
      </x:c>
      <x:c r="D30" s="62" t="str">
        <x:v>画面</x:v>
      </x:c>
      <x:c r="E30" s="77" t="str">
        <x:v>ログイン・ログアウト・認証完了画面を作る</x:v>
      </x:c>
      <x:c r="F30" s="83" t="str">
        <x:v>完了</x:v>
      </x:c>
      <x:c r="G30" s="83" t="str">
        <x:v>P0</x:v>
      </x:c>
      <x:c r="H30" s="84" t="str">
        <x:v>検証環境で新規登録・確認メール・ログイン・ログアウト・再ログイン・パスワード再設定を実ユーザーで確認済み</x:v>
      </x:c>
      <x:c r="I30" s="84" t="str">
        <x:v>認証画面変更時にオンライン回帰確認を行う</x:v>
      </x:c>
      <x:c r="J30" s="77" t="str">
        <x:v>認証済みセッションを取得できる</x:v>
      </x:c>
      <x:c r="K30" s="77" t="str">
        <x:v>web/src/routes/login/ / web/src/lib/features/auth/AuthPanel.svelte / web/src/routes/account/</x:v>
      </x:c>
      <x:c r="L30" s="88" t="n">
        <x:v>46269</x:v>
      </x:c>
    </x:row>
    <x:row r="31" ht="48" customHeight="1">
      <x:c r="A31" s="62" t="str">
        <x:v>AUTH-005</x:v>
      </x:c>
      <x:c r="B31" s="70" t="str">
        <x:v>☑</x:v>
      </x:c>
      <x:c r="C31" s="62" t="str">
        <x:v>認証・アカウント</x:v>
      </x:c>
      <x:c r="D31" s="62" t="str">
        <x:v>制御</x:v>
      </x:c>
      <x:c r="E31" s="77" t="str">
        <x:v>未認証ユーザーのルート保護を実装する</x:v>
      </x:c>
      <x:c r="F31" s="83" t="str">
        <x:v>完了</x:v>
      </x:c>
      <x:c r="G31" s="83" t="str">
        <x:v>P0</x:v>
      </x:c>
      <x:c r="H31" s="84" t="str">
        <x:v>Supabase接続済み環境では、未ログインまたは認証エラー時に/loginへ自動案内する。ログイン済みで/loginを開いた場合はホームへ戻し、再設定時は/accountへ案内する</x:v>
      </x:c>
      <x:c r="I31" s="84" t="str">
        <x:v>認証フロー変更時にルート制御の単体テストとオンラインE2Eを回帰確認</x:v>
      </x:c>
      <x:c r="J31" s="77" t="str">
        <x:v>未認証アクセスがログイン画面へ移動し、ログイン後はホームへ進む</x:v>
      </x:c>
      <x:c r="K31" s="77" t="str">
        <x:v>web/src/routes/+layout.svelte / web/src/lib/features/auth/auth-routing.ts</x:v>
      </x:c>
      <x:c r="L31" s="88" t="n">
        <x:v>46268</x:v>
      </x:c>
    </x:row>
    <x:row r="32" ht="48" customHeight="1">
      <x:c r="A32" s="62" t="str">
        <x:v>AUTH-006</x:v>
      </x:c>
      <x:c r="B32" s="70" t="str">
        <x:f>IF(F32="完了","☑","☐")</x:f>
        <x:v>☐</x:v>
      </x:c>
      <x:c r="C32" s="62" t="str">
        <x:v>認証・アカウント</x:v>
      </x:c>
      <x:c r="D32" s="62" t="str">
        <x:v>プロフィール</x:v>
      </x:c>
      <x:c r="E32" s="77" t="str">
        <x:v>プロフィールとアカウント設定を実装する</x:v>
      </x:c>
      <x:c r="F32" s="83" t="str">
        <x:v>未着手</x:v>
      </x:c>
      <x:c r="G32" s="83" t="str">
        <x:v>P1</x:v>
      </x:c>
      <x:c r="H32" s="84" t="str">
        <x:v>表示名・退会要求等を扱える。DBテーブル初稿のみ</x:v>
      </x:c>
      <x:c r="I32" s="84" t="str">
        <x:v>画面と安全な更新APIを作る</x:v>
      </x:c>
      <x:c r="J32" s="77" t="str">
        <x:v>許可項目だけ更新できる</x:v>
      </x:c>
      <x:c r="K32" s="77" t="str">
        <x:v>web/src/lib/features/auth/</x:v>
      </x:c>
      <x:c r="L32" s="88" t="n">
        <x:v>46258</x:v>
      </x:c>
    </x:row>
    <x:row r="33" ht="48" customHeight="1">
      <x:c r="A33" s="62" t="str">
        <x:v>AUTH-007</x:v>
      </x:c>
      <x:c r="B33" s="70" t="str">
        <x:v>☑</x:v>
      </x:c>
      <x:c r="C33" s="62" t="str">
        <x:v>認証・アカウント</x:v>
      </x:c>
      <x:c r="D33" s="62" t="str">
        <x:v>権限</x:v>
      </x:c>
      <x:c r="E33" s="77" t="str">
        <x:v>学習者がadminロールへ変更できないようにする</x:v>
      </x:c>
      <x:c r="F33" s="83" t="str">
        <x:v>完了</x:v>
      </x:c>
      <x:c r="G33" s="83" t="str">
        <x:v>P0</x:v>
      </x:c>
      <x:c r="H33" s="84" t="str">
        <x:v>Supabase実DBで学習者のrole列更新を拒否し、管理者ポリシーだけを許可するRLSテストが成功</x:v>
      </x:c>
      <x:c r="I33" s="84" t="str">
        <x:v>管理者機能実装時にも同じ権限昇格テストを継続</x:v>
      </x:c>
      <x:c r="J33" s="77" t="str">
        <x:v>権限昇格テストが失敗する</x:v>
      </x:c>
      <x:c r="K33" s="77" t="str">
        <x:v>supabase/migrations/202608210001_initial_schema.sql / supabase/tests/learner_data_rls.sql</x:v>
      </x:c>
      <x:c r="L33" s="88" t="n">
        <x:v>46260</x:v>
      </x:c>
    </x:row>
    <x:row r="34" ht="48" customHeight="1">
      <x:c r="A34" s="62" t="str">
        <x:v>DB-001</x:v>
      </x:c>
      <x:c r="B34" s="70" t="str">
        <x:v>☑</x:v>
      </x:c>
      <x:c r="C34" s="62" t="str">
        <x:v>DB・権限</x:v>
      </x:c>
      <x:c r="D34" s="62" t="str">
        <x:v>スキーマ</x:v>
      </x:c>
      <x:c r="E34" s="77" t="str">
        <x:v>主要テーブルの初期スキーマを定義する</x:v>
      </x:c>
      <x:c r="F34" s="83" t="str">
        <x:v>完了</x:v>
      </x:c>
      <x:c r="G34" s="83" t="str">
        <x:v>P0</x:v>
      </x:c>
      <x:c r="H34" s="84" t="str">
        <x:v>最終設計の17テーブル、制約、3 RPC、明示的Data API権限をmigrationとして適用・検証済み</x:v>
      </x:c>
      <x:c r="I34" s="84" t="str">
        <x:v>今後のDB変更も新しいmigrationとして追加する</x:v>
      </x:c>
      <x:c r="J34" s="77" t="str">
        <x:v>最終設計の全テーブル・制約・RLS・RPCを含む初期マイグレーションが検証済み</x:v>
      </x:c>
      <x:c r="K34" s="77" t="str">
        <x:v>supabase/migrations/202608210001_initial_schema.sql / docs/architecture.md</x:v>
      </x:c>
      <x:c r="L34" s="88" t="n">
        <x:v>46260</x:v>
      </x:c>
    </x:row>
    <x:row r="35" ht="48" customHeight="1">
      <x:c r="A35" s="62" t="str">
        <x:v>DB-002</x:v>
      </x:c>
      <x:c r="B35" s="70" t="str">
        <x:v>☑</x:v>
      </x:c>
      <x:c r="C35" s="62" t="str">
        <x:v>DB・権限</x:v>
      </x:c>
      <x:c r="D35" s="62" t="str">
        <x:v>RLS</x:v>
      </x:c>
      <x:c r="E35" s="77" t="str">
        <x:v>各テーブルのRLS初稿を定義する</x:v>
      </x:c>
      <x:c r="F35" s="83" t="str">
        <x:v>完了</x:v>
      </x:c>
      <x:c r="G35" s="83" t="str">
        <x:v>P0</x:v>
      </x:c>
      <x:c r="H35" s="84" t="str">
        <x:v>全17テーブルでRLS有効。本人・別ユーザー・匿名・管理者・権限昇格拒否を実DBで検証済み</x:v>
      </x:c>
      <x:c r="I35" s="84" t="str">
        <x:v>実ユーザーE2Eでも画面経由の分離を確認する</x:v>
      </x:c>
      <x:c r="J35" s="77" t="str">
        <x:v>全ポリシーが権限テストを通る</x:v>
      </x:c>
      <x:c r="K35" s="77" t="str">
        <x:v>supabase/migrations/202608210001_initial_schema.sql / supabase/tests/learner_data_rls.sql</x:v>
      </x:c>
      <x:c r="L35" s="88" t="n">
        <x:v>46260</x:v>
      </x:c>
    </x:row>
    <x:row r="36" ht="110" customHeight="1">
      <x:c r="A36" s="77" t="str">
        <x:v>DB-003</x:v>
      </x:c>
      <x:c r="B36" s="231" t="str">
        <x:v>☑</x:v>
      </x:c>
      <x:c r="C36" s="77" t="str">
        <x:v>DB・権限</x:v>
      </x:c>
      <x:c r="D36" s="77" t="str">
        <x:v>マイグレーション</x:v>
      </x:c>
      <x:c r="E36" s="77" t="str">
        <x:v>開発用Supabaseへスキーマを適用する</x:v>
      </x:c>
      <x:c r="F36" s="83" t="str">
        <x:v>完了</x:v>
      </x:c>
      <x:c r="G36" s="83" t="str">
        <x:v>P0</x:v>
      </x:c>
      <x:c r="H36" s="84" t="str">
        <x:v>migration 202609050002を適用。STEP 1の不正解セットを閉じる特例を廃止。冪等性と進級テストの一回解答を維持。</x:v>
      </x:c>
      <x:c r="I36" s="84" t="str">
        <x:v>既存の完了済み不合格セットは自動で再開しない。新規提出から仕様を適用する。</x:v>
      </x:c>
      <x:c r="J36" s="77" t="str">
        <x:v>空の開発DBへ適用成功</x:v>
      </x:c>
      <x:c r="K36" s="77" t="str">
        <x:v>supabase/migrations/202608210001_initial_schema.sql / docs/supabase-local-setup.md</x:v>
      </x:c>
      <x:c r="L36" s="232" t="n">
        <x:v>46270</x:v>
      </x:c>
    </x:row>
    <x:row r="37" ht="110" customHeight="1">
      <x:c r="A37" s="77" t="str">
        <x:v>DB-004</x:v>
      </x:c>
      <x:c r="B37" s="231" t="str">
        <x:v>☑</x:v>
      </x:c>
      <x:c r="C37" s="77" t="str">
        <x:v>DB・権限</x:v>
      </x:c>
      <x:c r="D37" s="77" t="str">
        <x:v>テスト</x:v>
      </x:c>
      <x:c r="E37" s="77" t="str">
        <x:v>学習者・管理者・未認証のRLSテストを作る</x:v>
      </x:c>
      <x:c r="F37" s="83" t="str">
        <x:v>完了</x:v>
      </x:c>
      <x:c r="G37" s="83" t="str">
        <x:v>P0</x:v>
      </x:c>
      <x:c r="H37" s="84" t="str">
        <x:v>実DBのRLS・冪等性・進級テスト・ユーザー分離を検証済み。さらに、正式提出にはSTEP 1〜3の複数問とSTEP 4〜14の単問に対応する1〜5件の学習者向け解説を必須とし、解説0件の不完全な結果を保存前に拒否するDB制約をオンライン適用した。</x:v>
      </x:c>
      <x:c r="I37" s="84" t="str">
        <x:v>Claude異常出力として解説0件・6件以上を返すケースと、STEP 1の5件・STEP 2/3の3件・STEP 4以降の1件を認証済みE2Eで確認する。</x:v>
      </x:c>
      <x:c r="J37" s="77" t="str">
        <x:v>許可・拒否ケースが全て成功</x:v>
      </x:c>
      <x:c r="K37" s="77" t="str">
        <x:v>supabase/migrations/202609150001_require_feedback_comments.sql / supabase/tests/learner_data_rls.sql</x:v>
      </x:c>
      <x:c r="L37" s="232" t="n">
        <x:v>46280</x:v>
      </x:c>
    </x:row>
    <x:row r="38" ht="110" customHeight="1">
      <x:c r="A38" s="77" t="str">
        <x:v>DB-005</x:v>
      </x:c>
      <x:c r="B38" s="231" t="str">
        <x:v>☑</x:v>
      </x:c>
      <x:c r="C38" s="77" t="str">
        <x:v>DB・権限</x:v>
      </x:c>
      <x:c r="D38" s="77" t="str">
        <x:v>保存</x:v>
      </x:c>
      <x:c r="E38" s="77" t="str">
        <x:v>下書き・提出・添削・進捗をDBへ保存する</x:v>
      </x:c>
      <x:c r="F38" s="83" t="str">
        <x:v>完了</x:v>
      </x:c>
      <x:c r="G38" s="83" t="str">
        <x:v>P0</x:v>
      </x:c>
      <x:c r="H38" s="84" t="str">
        <x:v>下書き・提出・添削・進捗・解説難易度に加え、論点選択方式と自由設定テーマをlearning_progressへ保存。DB制約でランダム／自由設定、1〜3件、各20文字以内、空白・重複を検査し、本人だけに更新を許可した。</x:v>
      </x:c>
      <x:c r="I38" s="84" t="str">
        <x:v>実アカウントで設定保存、再読込、別端末同期、別ユーザー分離を確認する。</x:v>
      </x:c>
      <x:c r="J38" s="77" t="str">
        <x:v>再読込後もデータが維持される</x:v>
      </x:c>
      <x:c r="K38" s="77" t="str">
        <x:v>supabase/migrations/202609100001_topic_preferences_and_expanded_bank.sql / web/src/lib/features/learning/learning-service.ts</x:v>
      </x:c>
      <x:c r="L38" s="232" t="n">
        <x:v>46275</x:v>
      </x:c>
    </x:row>
    <x:row r="39" ht="48" customHeight="1">
      <x:c r="A39" s="62" t="str">
        <x:v>DB-006</x:v>
      </x:c>
      <x:c r="B39" s="70" t="str">
        <x:f>IF(F39="完了","☑","☐")</x:f>
        <x:v>☐</x:v>
      </x:c>
      <x:c r="C39" s="62" t="str">
        <x:v>DB・権限</x:v>
      </x:c>
      <x:c r="D39" s="62" t="str">
        <x:v>データ運用</x:v>
      </x:c>
      <x:c r="E39" s="77" t="str">
        <x:v>保持期間・削除・バックアップ方針を実装する</x:v>
      </x:c>
      <x:c r="F39" s="83" t="str">
        <x:v>未着手</x:v>
      </x:c>
      <x:c r="G39" s="83" t="str">
        <x:v>P1</x:v>
      </x:c>
      <x:c r="H39" s="84" t="str">
        <x:v>退会・削除要求と復旧手順を扱える。方針未確定</x:v>
      </x:c>
      <x:c r="I39" s="84" t="str">
        <x:v>法務方針と合わせて設計</x:v>
      </x:c>
      <x:c r="J39" s="77" t="str">
        <x:v>手順と定期確認が文書化される</x:v>
      </x:c>
      <x:c r="K39" s="77" t="str">
        <x:v>docs/</x:v>
      </x:c>
      <x:c r="L39" s="88" t="n">
        <x:v>46258</x:v>
      </x:c>
    </x:row>
    <x:row r="40" ht="48" customHeight="1">
      <x:c r="A40" s="62" t="str">
        <x:v>AI-001</x:v>
      </x:c>
      <x:c r="B40" s="70" t="str">
        <x:f>IF(F40="完了","☑","☐")</x:f>
        <x:v>☑</x:v>
      </x:c>
      <x:c r="C40" s="62" t="str">
        <x:v>AI添削</x:v>
      </x:c>
      <x:c r="D40" s="62" t="str">
        <x:v>契約</x:v>
      </x:c>
      <x:c r="E40" s="77" t="str">
        <x:v>添削結果の共通型を定義する</x:v>
      </x:c>
      <x:c r="F40" s="83" t="str">
        <x:v>完了</x:v>
      </x:c>
      <x:c r="G40" s="83" t="str">
        <x:v>P1</x:v>
      </x:c>
      <x:c r="H40" s="84" t="str">
        <x:v>画面がモデル固有形式に依存しない。FeedbackResult型を定義済み</x:v>
      </x:c>
      <x:c r="I40" s="84" t="str">
        <x:v>JSON検証とAPIへ接続</x:v>
      </x:c>
      <x:c r="J40" s="77" t="str">
        <x:v>モック・実APIが同じ型を返す</x:v>
      </x:c>
      <x:c r="K40" s="77" t="str">
        <x:v>web/src/lib/types/contracts.ts</x:v>
      </x:c>
      <x:c r="L40" s="88" t="n">
        <x:v>46258</x:v>
      </x:c>
    </x:row>
    <x:row r="41" ht="48" customHeight="1">
      <x:c r="A41" s="62" t="str">
        <x:v>AI-002</x:v>
      </x:c>
      <x:c r="B41" s="70" t="str">
        <x:f>IF(F41="完了","☑","☐")</x:f>
        <x:v>☑</x:v>
      </x:c>
      <x:c r="C41" s="62" t="str">
        <x:v>AI添削</x:v>
      </x:c>
      <x:c r="D41" s="62" t="str">
        <x:v>モック</x:v>
      </x:c>
      <x:c r="E41" s="77" t="str">
        <x:v>固定データで添削表示を確認する</x:v>
      </x:c>
      <x:c r="F41" s="83" t="str">
        <x:v>完了</x:v>
      </x:c>
      <x:c r="G41" s="83" t="str">
        <x:v>P1</x:v>
      </x:c>
      <x:c r="H41" s="84" t="str">
        <x:v>合格時は良かった点と任意の改善案を2件返し、画面で根拠とともに詳しく表示。要修正時は最優先1件に限定</x:v>
      </x:c>
      <x:c r="I41" s="84" t="str">
        <x:v>Claude接続後に答案中の具体表現を根拠とする2〜3件の合格コメント品質を評価</x:v>
      </x:c>
      <x:c r="J41" s="77" t="str">
        <x:v>入力後にモック結果が出る</x:v>
      </x:c>
      <x:c r="K41" s="77" t="str">
        <x:v>web/src/lib/features/learning/feedback.ts</x:v>
      </x:c>
      <x:c r="L41" s="88" t="n">
        <x:v>46262</x:v>
      </x:c>
    </x:row>
    <x:row r="42" ht="140" customHeight="1">
      <x:c r="A42" s="77" t="str">
        <x:v>AI-003</x:v>
      </x:c>
      <x:c r="B42" s="231" t="str">
        <x:v>☐</x:v>
      </x:c>
      <x:c r="C42" s="77" t="str">
        <x:v>AI添削</x:v>
      </x:c>
      <x:c r="D42" s="77" t="str">
        <x:v>Edge Function</x:v>
      </x:c>
      <x:c r="E42" s="77" t="str">
        <x:v>feedback Edge Functionを実装する</x:v>
      </x:c>
      <x:c r="F42" s="83" t="str">
        <x:v>進行中</x:v>
      </x:c>
      <x:c r="G42" s="83" t="str">
        <x:v>P0</x:v>
      </x:c>
      <x:c r="H42" s="84" t="str">
        <x:v>feedback Edge Functionを更新し、languageStatus（日本語表現上の状態）とdecision（当該STEPの達成判定）を分離した。cleanかつreviseを正当な組み合わせとして許可し、revision_requiredかつpassは引き続き拒否する。Claudeへの指示、回帰テスト、検証失敗時の実使用量記録も追加し、Supabaseへ配備済み。</x:v>
      </x:c>
      <x:c r="I42" s="84" t="str">
        <x:v>オンライン環境で同じ答案を再提出し、cleanかつreviseの判定が要修正結果として保存・表示されることを確認する。その後、STEP 2・3の自然な別解も確認する。</x:v>
      </x:c>
      <x:c r="J42" s="77" t="str">
        <x:v>正常・異常ケースがテストを通る</x:v>
      </x:c>
      <x:c r="K42" s="77" t="str">
        <x:v>supabase/functions/feedback/</x:v>
      </x:c>
      <x:c r="L42" s="232" t="n">
        <x:v>46275</x:v>
      </x:c>
    </x:row>
    <x:row r="43" ht="145" customHeight="1">
      <x:c r="A43" s="77" t="str">
        <x:v>AI-004</x:v>
      </x:c>
      <x:c r="B43" s="231" t="str">
        <x:v>☐</x:v>
      </x:c>
      <x:c r="C43" s="77" t="str">
        <x:v>AI添削</x:v>
      </x:c>
      <x:c r="D43" s="77" t="str">
        <x:v>プロバイダー</x:v>
      </x:c>
      <x:c r="E43" s="77" t="str">
        <x:v>Claudeと他モデルを差し替え可能にする</x:v>
      </x:c>
      <x:c r="F43" s="83" t="str">
        <x:v>進行中</x:v>
      </x:c>
      <x:c r="G43" s="83" t="str">
        <x:v>P1</x:v>
      </x:c>
      <x:c r="H43" s="84" t="str">
        <x:v>Anthropic呼出を共通化。添削のHaiku 4.5・Sonnet 4.6とは別に、問題生成を標準Sonnet 5としてproblem-generation Edge Functionへ接続し、Supabaseへ配備した。モデルIDはサーバー環境変数で変更できる。</x:v>
      </x:c>
      <x:c r="I43" s="84" t="str">
        <x:v>実ユーザーの新規問題生成でSonnet 5の正常応答、応答時間、教育品質を確認する。将来ほかの提供元を採用する場合は同じ呼出境界へ実装する。</x:v>
      </x:c>
      <x:c r="J43" s="77" t="str">
        <x:v>モックとClaudeを設定で切替可能</x:v>
      </x:c>
      <x:c r="K43" s="77" t="str">
        <x:v>supabase/functions/_shared/claude.ts / runtime.ts / problem-generation.ts</x:v>
      </x:c>
      <x:c r="L43" s="232" t="n">
        <x:v>46274</x:v>
      </x:c>
    </x:row>
    <x:row r="44" ht="140" customHeight="1">
      <x:c r="A44" s="77" t="str">
        <x:v>AI-005</x:v>
      </x:c>
      <x:c r="B44" s="231" t="str">
        <x:v>☐</x:v>
      </x:c>
      <x:c r="C44" s="77" t="str">
        <x:v>AI添削</x:v>
      </x:c>
      <x:c r="D44" s="77" t="str">
        <x:v>プロンプト</x:v>
      </x:c>
      <x:c r="E44" s="77" t="str">
        <x:v>ルーブリック・指示のバージョン管理を接続する</x:v>
      </x:c>
      <x:c r="F44" s="83" t="str">
        <x:v>進行中</x:v>
      </x:c>
      <x:c r="G44" s="83" t="str">
        <x:v>P0</x:v>
      </x:c>
      <x:c r="H44" s="84" t="str">
        <x:v>解説難易度の条件は通常feedbackプロンプト内だけで制御する。結果後の追加言い換え用プロンプト・契約・クライアント呼出を削除し、設定OFF/ONで別の説明を二重保存しない構成にした。</x:v>
      </x:c>
      <x:c r="I44" s="84" t="str">
        <x:v>実答案で通常版とやさしい版を比較し、小学校高学年〜中学生を目安とした読みやすさと採点基準不変を確認する。使用プロンプト版の保存も追加する。</x:v>
      </x:c>
      <x:c r="J44" s="77" t="str">
        <x:v>結果に使用バージョンが保存される</x:v>
      </x:c>
      <x:c r="K44" s="77" t="str">
        <x:v>web/src/lib/features/learning/feedback.ts / learning-design.ts / docs/architecture.md</x:v>
      </x:c>
      <x:c r="L44" s="232" t="n">
        <x:v>46274</x:v>
      </x:c>
    </x:row>
    <x:row r="45" ht="145" customHeight="1">
      <x:c r="A45" s="77" t="str">
        <x:v>AI-006</x:v>
      </x:c>
      <x:c r="B45" s="231" t="str">
        <x:v>☐</x:v>
      </x:c>
      <x:c r="C45" s="77" t="str">
        <x:v>AI添削</x:v>
      </x:c>
      <x:c r="D45" s="77" t="str">
        <x:v>検証</x:v>
      </x:c>
      <x:c r="E45" s="77" t="str">
        <x:v>AI出力をJSON Schemaで検証する</x:v>
      </x:c>
      <x:c r="F45" s="83" t="str">
        <x:v>要確認</x:v>
      </x:c>
      <x:c r="G45" s="83" t="str">
        <x:v>P0</x:v>
      </x:c>
      <x:c r="H45" s="84" t="str">
        <x:v>添削結果のJSON Schema検証とサーバー再検証を実装。languageStatusは表現上の状態、decisionは段階目標の達成判定として扱い、cleanかつreviseを許可する。合格なのに重大な未達、revision_requiredなのに合格、要修正なのに全技能達成、実回答を未回答とする結果は拒否する。</x:v>
      </x:c>
      <x:c r="I45" s="84" t="str">
        <x:v>実アカウントでcleanかつrevise、minor_issueかつpass、revision_requiredかつreviseの代表ケースを確認する。破損出力を安全に拒否できることも認証済みE2Eへ追加する。</x:v>
      </x:c>
      <x:c r="J45" s="77" t="str">
        <x:v>破損出力を安全に拒否できる</x:v>
      </x:c>
      <x:c r="K45" s="77" t="str">
        <x:v>supabase/functions/_shared/problem-generation-contract.ts / problem-generation-prompt.ts</x:v>
      </x:c>
      <x:c r="L45" s="232" t="n">
        <x:v>46275</x:v>
      </x:c>
    </x:row>
    <x:row r="46" ht="145" customHeight="1">
      <x:c r="A46" s="77" t="str">
        <x:v>AI-007</x:v>
      </x:c>
      <x:c r="B46" s="231" t="str">
        <x:v>☐</x:v>
      </x:c>
      <x:c r="C46" s="77" t="str">
        <x:v>AI添削</x:v>
      </x:c>
      <x:c r="D46" s="77" t="str">
        <x:v>安全運用</x:v>
      </x:c>
      <x:c r="E46" s="77" t="str">
        <x:v>タイムアウト・再試行・レート制限を実装する</x:v>
      </x:c>
      <x:c r="F46" s="83" t="str">
        <x:v>進行中</x:v>
      </x:c>
      <x:c r="G46" s="83" t="str">
        <x:v>P1</x:v>
      </x:c>
      <x:c r="H46" s="84" t="str">
        <x:v>問題生成に認証、安定request_id、DB予約、暫定日次予算、検証失敗時1回だけ再生成、失敗記録、確認済みローカル問題への退避を実装。承認済み問題は再利用してClaude呼出と重複課金を避ける。</x:v>
      </x:c>
      <x:c r="I46" s="84" t="str">
        <x:v>実環境で生成成功、再利用、予算超過、提供元障害の挙動を確認する。最終公開テスト時に問題生成・添削の暫定上限をサービス責任者へ必ず再確認する。</x:v>
      </x:c>
      <x:c r="J46" s="77" t="str">
        <x:v>障害時に安全なエラーを返す</x:v>
      </x:c>
      <x:c r="K46" s="77" t="str">
        <x:v>supabase/functions/feedback/</x:v>
      </x:c>
      <x:c r="L46" s="232" t="n">
        <x:v>46274</x:v>
      </x:c>
    </x:row>
    <x:row r="47" ht="48" customHeight="1">
      <x:c r="A47" s="62" t="str">
        <x:v>BILL-001</x:v>
      </x:c>
      <x:c r="B47" s="70" t="str">
        <x:f>IF(F47="完了","☑","☐")</x:f>
        <x:v>☑</x:v>
      </x:c>
      <x:c r="C47" s="62" t="str">
        <x:v>課金・利用権</x:v>
      </x:c>
      <x:c r="D47" s="62" t="str">
        <x:v>DB</x:v>
      </x:c>
      <x:c r="E47" s="77" t="str">
        <x:v>利用権・決済イベントテーブルを定義する</x:v>
      </x:c>
      <x:c r="F47" s="83" t="str">
        <x:v>完了</x:v>
      </x:c>
      <x:c r="G47" s="83" t="str">
        <x:v>P1</x:v>
      </x:c>
      <x:c r="H47" s="84" t="str">
        <x:v>Stripe詳細からアプリ利用権を分離。entitlementsとpayment_events初稿あり</x:v>
      </x:c>
      <x:c r="I47" s="84" t="str">
        <x:v>実装時に制約・索引を見直す</x:v>
      </x:c>
      <x:c r="J47" s="77" t="str">
        <x:v>利用権をDBで表現できる</x:v>
      </x:c>
      <x:c r="K47" s="77" t="str">
        <x:v>supabase/migrations/202608210001_initial_schema.sql</x:v>
      </x:c>
      <x:c r="L47" s="88" t="n">
        <x:v>46258</x:v>
      </x:c>
    </x:row>
    <x:row r="48" ht="48" customHeight="1">
      <x:c r="A48" s="62" t="str">
        <x:v>BILL-002</x:v>
      </x:c>
      <x:c r="B48" s="70" t="str">
        <x:f>IF(F48="完了","☑","☐")</x:f>
        <x:v>☐</x:v>
      </x:c>
      <x:c r="C48" s="62" t="str">
        <x:v>課金・利用権</x:v>
      </x:c>
      <x:c r="D48" s="62" t="str">
        <x:v>料金設計</x:v>
      </x:c>
      <x:c r="E48" s="77" t="str">
        <x:v>無料枠・価格・期限・提出上限を決める</x:v>
      </x:c>
      <x:c r="F48" s="83" t="str">
        <x:v>要確認</x:v>
      </x:c>
      <x:c r="G48" s="83" t="str">
        <x:v>P1</x:v>
      </x:c>
      <x:c r="H48" s="84" t="str">
        <x:v>提供プランと利用条件を確定。未決定</x:v>
      </x:c>
      <x:c r="I48" s="84" t="str">
        <x:v>学習機能完成後に原価と検証結果で決定</x:v>
      </x:c>
      <x:c r="J48" s="77" t="str">
        <x:v>料金表と利用権ルールが文書化される</x:v>
      </x:c>
      <x:c r="K48" s="77" t="str">
        <x:v>docs/architecture.md</x:v>
      </x:c>
      <x:c r="L48" s="88" t="n">
        <x:v>46258</x:v>
      </x:c>
    </x:row>
    <x:row r="49" ht="48" customHeight="1">
      <x:c r="A49" s="62" t="str">
        <x:v>BILL-003</x:v>
      </x:c>
      <x:c r="B49" s="70" t="str">
        <x:f>IF(F49="完了","☑","☐")</x:f>
        <x:v>☐</x:v>
      </x:c>
      <x:c r="C49" s="62" t="str">
        <x:v>課金・利用権</x:v>
      </x:c>
      <x:c r="D49" s="62" t="str">
        <x:v>Checkout</x:v>
      </x:c>
      <x:c r="E49" s="77" t="str">
        <x:v>Stripe Checkoutを作成する</x:v>
      </x:c>
      <x:c r="F49" s="83" t="str">
        <x:v>未着手</x:v>
      </x:c>
      <x:c r="G49" s="83" t="str">
        <x:v>P1</x:v>
      </x:c>
      <x:c r="H49" s="84" t="str">
        <x:v>サーバー側で安全に決済を開始。未実装</x:v>
      </x:c>
      <x:c r="I49" s="84" t="str">
        <x:v>create-checkout関数と画面を作る</x:v>
      </x:c>
      <x:c r="J49" s="77" t="str">
        <x:v>テスト決済を開始・完了できる</x:v>
      </x:c>
      <x:c r="K49" s="77" t="str">
        <x:v>supabase/functions/create-checkout/</x:v>
      </x:c>
      <x:c r="L49" s="88" t="n">
        <x:v>46258</x:v>
      </x:c>
    </x:row>
    <x:row r="50" ht="48" customHeight="1">
      <x:c r="A50" s="62" t="str">
        <x:v>BILL-004</x:v>
      </x:c>
      <x:c r="B50" s="70" t="str">
        <x:f>IF(F50="完了","☑","☐")</x:f>
        <x:v>☐</x:v>
      </x:c>
      <x:c r="C50" s="62" t="str">
        <x:v>課金・利用権</x:v>
      </x:c>
      <x:c r="D50" s="62" t="str">
        <x:v>Webhook</x:v>
      </x:c>
      <x:c r="E50" s="77" t="str">
        <x:v>Stripe Webhookで利用権を更新する</x:v>
      </x:c>
      <x:c r="F50" s="83" t="str">
        <x:v>未着手</x:v>
      </x:c>
      <x:c r="G50" s="83" t="str">
        <x:v>P1</x:v>
      </x:c>
      <x:c r="H50" s="84" t="str">
        <x:v>署名検証後にentitlementsへ反映。未実装</x:v>
      </x:c>
      <x:c r="I50" s="84" t="str">
        <x:v>stripe-webhook関数を作る</x:v>
      </x:c>
      <x:c r="J50" s="77" t="str">
        <x:v>再送を含め正しい利用権になる</x:v>
      </x:c>
      <x:c r="K50" s="77" t="str">
        <x:v>supabase/functions/stripe-webhook/</x:v>
      </x:c>
      <x:c r="L50" s="88" t="n">
        <x:v>46258</x:v>
      </x:c>
    </x:row>
    <x:row r="51" ht="48" customHeight="1">
      <x:c r="A51" s="62" t="str">
        <x:v>BILL-005</x:v>
      </x:c>
      <x:c r="B51" s="70" t="str">
        <x:f>IF(F51="完了","☑","☐")</x:f>
        <x:v>☐</x:v>
      </x:c>
      <x:c r="C51" s="62" t="str">
        <x:v>課金・利用権</x:v>
      </x:c>
      <x:c r="D51" s="62" t="str">
        <x:v>アプリ制御</x:v>
      </x:c>
      <x:c r="E51" s="77" t="str">
        <x:v>提出前に利用権をサーバー側で確認する</x:v>
      </x:c>
      <x:c r="F51" s="83" t="str">
        <x:v>未着手</x:v>
      </x:c>
      <x:c r="G51" s="83" t="str">
        <x:v>P1</x:v>
      </x:c>
      <x:c r="H51" s="84" t="str">
        <x:v>画面表示だけで制限しない。AccessState型のみ</x:v>
      </x:c>
      <x:c r="I51" s="84" t="str">
        <x:v>提出関数で利用権を検証</x:v>
      </x:c>
      <x:c r="J51" s="77" t="str">
        <x:v>無効な利用権では提出できない</x:v>
      </x:c>
      <x:c r="K51" s="77" t="str">
        <x:v>supabase/functions/feedback/</x:v>
      </x:c>
      <x:c r="L51" s="88" t="n">
        <x:v>46258</x:v>
      </x:c>
    </x:row>
    <x:row r="52" ht="48" customHeight="1">
      <x:c r="A52" s="62" t="str">
        <x:v>BILL-006</x:v>
      </x:c>
      <x:c r="B52" s="70" t="str">
        <x:f>IF(F52="完了","☑","☐")</x:f>
        <x:v>☐</x:v>
      </x:c>
      <x:c r="C52" s="62" t="str">
        <x:v>課金・利用権</x:v>
      </x:c>
      <x:c r="D52" s="62" t="str">
        <x:v>テスト</x:v>
      </x:c>
      <x:c r="E52" s="77" t="str">
        <x:v>決済再送・失敗・返金をテストする</x:v>
      </x:c>
      <x:c r="F52" s="83" t="str">
        <x:v>未着手</x:v>
      </x:c>
      <x:c r="G52" s="83" t="str">
        <x:v>P2</x:v>
      </x:c>
      <x:c r="H52" s="84" t="str">
        <x:v>冪等性と状態整合性を保証。未実装</x:v>
      </x:c>
      <x:c r="I52" s="84" t="str">
        <x:v>Stripeテスト環境でケースを作る</x:v>
      </x:c>
      <x:c r="J52" s="77" t="str">
        <x:v>重複イベントで二重反映しない</x:v>
      </x:c>
      <x:c r="K52" s="77" t="str">
        <x:v>supabase/functions/stripe-webhook/</x:v>
      </x:c>
      <x:c r="L52" s="88" t="n">
        <x:v>46258</x:v>
      </x:c>
    </x:row>
    <x:row r="53" ht="48" customHeight="1">
      <x:c r="A53" s="62" t="str">
        <x:v>ADM-001</x:v>
      </x:c>
      <x:c r="B53" s="70" t="str">
        <x:f>IF(F53="完了","☑","☐")</x:f>
        <x:v>☐</x:v>
      </x:c>
      <x:c r="C53" s="62" t="str">
        <x:v>管理者機能</x:v>
      </x:c>
      <x:c r="D53" s="62" t="str">
        <x:v>認証</x:v>
      </x:c>
      <x:c r="E53" s="77" t="str">
        <x:v>管理者専用ルートと権限制御を作る</x:v>
      </x:c>
      <x:c r="F53" s="83" t="str">
        <x:v>未着手</x:v>
      </x:c>
      <x:c r="G53" s="83" t="str">
        <x:v>P1</x:v>
      </x:c>
      <x:c r="H53" s="84" t="str">
        <x:v>学習者が管理画面へ入れない。DBにrole初稿のみ</x:v>
      </x:c>
      <x:c r="I53" s="84" t="str">
        <x:v>RLSとサーバーガードを実装</x:v>
      </x:c>
      <x:c r="J53" s="77" t="str">
        <x:v>学習者アクセスが拒否される</x:v>
      </x:c>
      <x:c r="K53" s="77" t="str">
        <x:v>web/src/lib/features/admin/</x:v>
      </x:c>
      <x:c r="L53" s="88" t="n">
        <x:v>46258</x:v>
      </x:c>
    </x:row>
    <x:row r="54" ht="48" customHeight="1">
      <x:c r="A54" s="62" t="str">
        <x:v>ADM-002</x:v>
      </x:c>
      <x:c r="B54" s="70" t="str">
        <x:f>IF(F54="完了","☑","☐")</x:f>
        <x:v>☐</x:v>
      </x:c>
      <x:c r="C54" s="62" t="str">
        <x:v>管理者機能</x:v>
      </x:c>
      <x:c r="D54" s="62" t="str">
        <x:v>教材管理</x:v>
      </x:c>
      <x:c r="E54" s="77" t="str">
        <x:v>課題・ルーブリック・指示を管理する</x:v>
      </x:c>
      <x:c r="F54" s="83" t="str">
        <x:v>未着手</x:v>
      </x:c>
      <x:c r="G54" s="83" t="str">
        <x:v>P1</x:v>
      </x:c>
      <x:c r="H54" s="84" t="str">
        <x:v>公開バージョンを安全に更新。DBテーブル初稿のみ</x:v>
      </x:c>
      <x:c r="I54" s="84" t="str">
        <x:v>まず読み取り画面から実装</x:v>
      </x:c>
      <x:c r="J54" s="77" t="str">
        <x:v>管理者だけが作成・公開できる</x:v>
      </x:c>
      <x:c r="K54" s="77" t="str">
        <x:v>web/src/lib/features/admin/</x:v>
      </x:c>
      <x:c r="L54" s="88" t="n">
        <x:v>46258</x:v>
      </x:c>
    </x:row>
    <x:row r="55" ht="48" customHeight="1">
      <x:c r="A55" s="62" t="str">
        <x:v>ADM-003</x:v>
      </x:c>
      <x:c r="B55" s="70" t="str">
        <x:f>IF(F55="完了","☑","☐")</x:f>
        <x:v>☐</x:v>
      </x:c>
      <x:c r="C55" s="62" t="str">
        <x:v>管理者機能</x:v>
      </x:c>
      <x:c r="D55" s="62" t="str">
        <x:v>ユーザー</x:v>
      </x:c>
      <x:c r="E55" s="77" t="str">
        <x:v>学習者・課題割当を管理する</x:v>
      </x:c>
      <x:c r="F55" s="83" t="str">
        <x:v>未着手</x:v>
      </x:c>
      <x:c r="G55" s="83" t="str">
        <x:v>P2</x:v>
      </x:c>
      <x:c r="H55" s="84" t="str">
        <x:v>割当・停止・確認が可能。DBテーブル初稿のみ</x:v>
      </x:c>
      <x:c r="I55" s="84" t="str">
        <x:v>少人数テスト前に実装</x:v>
      </x:c>
      <x:c r="J55" s="77" t="str">
        <x:v>管理者が割当を変更できる</x:v>
      </x:c>
      <x:c r="K55" s="77" t="str">
        <x:v>web/src/lib/features/admin/</x:v>
      </x:c>
      <x:c r="L55" s="88" t="n">
        <x:v>46258</x:v>
      </x:c>
    </x:row>
    <x:row r="56" ht="48" customHeight="1">
      <x:c r="A56" s="62" t="str">
        <x:v>ADM-004</x:v>
      </x:c>
      <x:c r="B56" s="70" t="str">
        <x:f>IF(F56="完了","☑","☐")</x:f>
        <x:v>☐</x:v>
      </x:c>
      <x:c r="C56" s="62" t="str">
        <x:v>管理者機能</x:v>
      </x:c>
      <x:c r="D56" s="62" t="str">
        <x:v>監査</x:v>
      </x:c>
      <x:c r="E56" s="77" t="str">
        <x:v>提出・添削・決済状態を確認する</x:v>
      </x:c>
      <x:c r="F56" s="83" t="str">
        <x:v>未着手</x:v>
      </x:c>
      <x:c r="G56" s="83" t="str">
        <x:v>P2</x:v>
      </x:c>
      <x:c r="H56" s="84" t="str">
        <x:v>問い合わせ時に状態を追跡可能。画面なし</x:v>
      </x:c>
      <x:c r="I56" s="84" t="str">
        <x:v>監査ログ方針と合わせて実装</x:v>
      </x:c>
      <x:c r="J56" s="77" t="str">
        <x:v>必要情報を権限付きで確認できる</x:v>
      </x:c>
      <x:c r="K56" s="77" t="str">
        <x:v>web/src/lib/features/admin/</x:v>
      </x:c>
      <x:c r="L56" s="88" t="n">
        <x:v>46258</x:v>
      </x:c>
    </x:row>
    <x:row r="57" ht="48" customHeight="1">
      <x:c r="A57" s="62" t="str">
        <x:v>MAIL-001</x:v>
      </x:c>
      <x:c r="B57" s="70" t="str">
        <x:f>IF(F57="完了","☑","☐")</x:f>
        <x:v>☐</x:v>
      </x:c>
      <x:c r="C57" s="62" t="str">
        <x:v>メール・通知</x:v>
      </x:c>
      <x:c r="D57" s="62" t="str">
        <x:v>サービス</x:v>
      </x:c>
      <x:c r="E57" s="77" t="str">
        <x:v>Resendアカウントと送信ドメインを準備する</x:v>
      </x:c>
      <x:c r="F57" s="83" t="str">
        <x:v>未着手</x:v>
      </x:c>
      <x:c r="G57" s="83" t="str">
        <x:v>P2</x:v>
      </x:c>
      <x:c r="H57" s="84" t="str">
        <x:v>本番メールの送信元を検証。未設定</x:v>
      </x:c>
      <x:c r="I57" s="84" t="str">
        <x:v>独自ドメイン決定後に設定</x:v>
      </x:c>
      <x:c r="J57" s="77" t="str">
        <x:v>ドメイン認証が完了</x:v>
      </x:c>
      <x:c r="K57" s="77" t="str">
        <x:v>Resend</x:v>
      </x:c>
      <x:c r="L57" s="88" t="n">
        <x:v>46258</x:v>
      </x:c>
    </x:row>
    <x:row r="58" ht="48" customHeight="1">
      <x:c r="A58" s="62" t="str">
        <x:v>MAIL-002</x:v>
      </x:c>
      <x:c r="B58" s="70" t="str">
        <x:f>IF(F58="完了","☑","☐")</x:f>
        <x:v>☐</x:v>
      </x:c>
      <x:c r="C58" s="62" t="str">
        <x:v>メール・通知</x:v>
      </x:c>
      <x:c r="D58" s="62" t="str">
        <x:v>認証メール</x:v>
      </x:c>
      <x:c r="E58" s="77" t="str">
        <x:v>Supabase Authの本番SMTPを設定する</x:v>
      </x:c>
      <x:c r="F58" s="83" t="str">
        <x:v>未着手</x:v>
      </x:c>
      <x:c r="G58" s="83" t="str">
        <x:v>P1</x:v>
      </x:c>
      <x:c r="H58" s="84" t="str">
        <x:v>認証メールを安定配信。未設定</x:v>
      </x:c>
      <x:c r="I58" s="84" t="str">
        <x:v>認証フロー完成後にResend接続</x:v>
      </x:c>
      <x:c r="J58" s="77" t="str">
        <x:v>認証メールが到達する</x:v>
      </x:c>
      <x:c r="K58" s="77" t="str">
        <x:v>Supabase Dashboard</x:v>
      </x:c>
      <x:c r="L58" s="88" t="n">
        <x:v>46258</x:v>
      </x:c>
    </x:row>
    <x:row r="59" ht="48" customHeight="1">
      <x:c r="A59" s="62" t="str">
        <x:v>MAIL-003</x:v>
      </x:c>
      <x:c r="B59" s="70" t="str">
        <x:f>IF(F59="完了","☑","☐")</x:f>
        <x:v>☐</x:v>
      </x:c>
      <x:c r="C59" s="62" t="str">
        <x:v>メール・通知</x:v>
      </x:c>
      <x:c r="D59" s="62" t="str">
        <x:v>通知</x:v>
      </x:c>
      <x:c r="E59" s="77" t="str">
        <x:v>決済・障害・重要通知メールを実装する</x:v>
      </x:c>
      <x:c r="F59" s="83" t="str">
        <x:v>未着手</x:v>
      </x:c>
      <x:c r="G59" s="83" t="str">
        <x:v>P2</x:v>
      </x:c>
      <x:c r="H59" s="84" t="str">
        <x:v>必要なイベントだけ通知。未実装</x:v>
      </x:c>
      <x:c r="I59" s="84" t="str">
        <x:v>イベント一覧とテンプレートを定義</x:v>
      </x:c>
      <x:c r="J59" s="77" t="str">
        <x:v>テスト送信と失敗処理が成功</x:v>
      </x:c>
      <x:c r="K59" s="77" t="str">
        <x:v>supabase/functions/</x:v>
      </x:c>
      <x:c r="L59" s="88" t="n">
        <x:v>46258</x:v>
      </x:c>
    </x:row>
    <x:row r="60" ht="48" customHeight="1">
      <x:c r="A60" s="62" t="str">
        <x:v>OPS-001</x:v>
      </x:c>
      <x:c r="B60" s="70" t="str">
        <x:v>☑</x:v>
      </x:c>
      <x:c r="C60" s="62" t="str">
        <x:v>公開・セキュリティ</x:v>
      </x:c>
      <x:c r="D60" s="62" t="str">
        <x:v>Cloudflare</x:v>
      </x:c>
      <x:c r="E60" s="77" t="str">
        <x:v>SvelteKitのCloudflare用アダプターを設定する</x:v>
      </x:c>
      <x:c r="F60" s="83" t="str">
        <x:v>完了</x:v>
      </x:c>
      <x:c r="G60" s="83" t="str">
        <x:v>P1</x:v>
      </x:c>
      <x:c r="H60" s="84" t="str">
        <x:v>公式Cloudflareアダプター、Wrangler、Worker設定をweb内へ固定。製品build、dry-run、ローカルWorkersの主要画面で確認済み</x:v>
      </x:c>
      <x:c r="I60" s="84" t="str">
        <x:v>Cloudflareの更新時に互換性とビルドを回帰確認する</x:v>
      </x:c>
      <x:c r="J60" s="77" t="str">
        <x:v>Cloudflare向けbuildとローカルWorkers起動が成功する</x:v>
      </x:c>
      <x:c r="K60" s="77" t="str">
        <x:v>web/vite.config.ts / web/wrangler.jsonc / web/package.json</x:v>
      </x:c>
      <x:c r="L60" s="88" t="n">
        <x:v>46268</x:v>
      </x:c>
    </x:row>
    <x:row r="61" ht="145" customHeight="1">
      <x:c r="A61" s="77" t="str">
        <x:v>OPS-002</x:v>
      </x:c>
      <x:c r="B61" s="231" t="str">
        <x:v>☐</x:v>
      </x:c>
      <x:c r="C61" s="77" t="str">
        <x:v>公開・セキュリティ</x:v>
      </x:c>
      <x:c r="D61" s="77" t="str">
        <x:v>検証環境</x:v>
      </x:c>
      <x:c r="E61" s="77" t="str">
        <x:v>Cloudflare Workersへ検証版を公開する</x:v>
      </x:c>
      <x:c r="F61" s="83" t="str">
        <x:v>進行中</x:v>
      </x:c>
      <x:c r="G61" s="83" t="str">
        <x:v>P0</x:v>
      </x:c>
      <x:c r="H61" s="84" t="str">
        <x:v>提出結果を必ず表示してから次へ進む修正をCloudflare検証環境へ公開。Supabaseには解説1〜5件を必須とするmigrationを適用。Cloudflare Version 21a2dec9-ff4e-42a6-b376-a1e8f1e6d6bc。トップと課題一覧はHTTP 200。</x:v>
      </x:c>
      <x:c r="I61" s="84" t="str">
        <x:v>ブラウザを1回再読込して新版を取得し、STEP 2の要修正→修正→合格で解説を確認後、「次の問題へ」を押してSTEP 3へ進む。代表段階と進級テストでも同じ順序を確認する。</x:v>
      </x:c>
      <x:c r="J61" s="77" t="str">
        <x:v>検証URLで認証・保存・再読込・ユーザー分離・学習遷移が成功する</x:v>
      </x:c>
      <x:c r="K61" s="77" t="str">
        <x:v>Cloudflare Workers / web/src/routes/tasks/[taskId]/+page.svelte</x:v>
      </x:c>
      <x:c r="L61" s="232" t="n">
        <x:v>46280</x:v>
      </x:c>
    </x:row>
    <x:row r="62" ht="48" customHeight="1">
      <x:c r="A62" s="62" t="str">
        <x:v>OPS-003</x:v>
      </x:c>
      <x:c r="B62" s="70" t="str">
        <x:f>IF(F62="完了","☑","☐")</x:f>
        <x:v>☐</x:v>
      </x:c>
      <x:c r="C62" s="62" t="str">
        <x:v>公開・セキュリティ</x:v>
      </x:c>
      <x:c r="D62" s="62" t="str">
        <x:v>秘密情報</x:v>
      </x:c>
      <x:c r="E62" s="77" t="str">
        <x:v>環境変数・APIキーを安全に登録する</x:v>
      </x:c>
      <x:c r="F62" s="83" t="str">
        <x:v>進行中</x:v>
      </x:c>
      <x:c r="G62" s="83" t="str">
        <x:v>P0</x:v>
      </x:c>
      <x:c r="H62" s="84" t="str">
        <x:v>Supabase Project URLとPublishable keyをCloudflare Workerの暗号化シークレットへ登録。値はGit管理外の.env.localから登録し、公開画面で接続設定を確認</x:v>
      </x:c>
      <x:c r="I62" s="84" t="str">
        <x:v>Claude・Stripe等を実装する際に各秘密鍵をサーバー側だけへ登録し、Git差分と公開バンドルを検査</x:v>
      </x:c>
      <x:c r="J62" s="77" t="str">
        <x:v>リポジトリに秘密情報がない</x:v>
      </x:c>
      <x:c r="K62" s="77" t="str">
        <x:v>web/.env.local / Cloudflare Worker secrets / docs/cloudflare-staging.md</x:v>
      </x:c>
      <x:c r="L62" s="88" t="n">
        <x:v>46268</x:v>
      </x:c>
    </x:row>
    <x:row r="63" ht="48" customHeight="1">
      <x:c r="A63" s="62" t="str">
        <x:v>OPS-004</x:v>
      </x:c>
      <x:c r="B63" s="70" t="str">
        <x:f>IF(F63="完了","☑","☐")</x:f>
        <x:v>☐</x:v>
      </x:c>
      <x:c r="C63" s="62" t="str">
        <x:v>公開・セキュリティ</x:v>
      </x:c>
      <x:c r="D63" s="62" t="str">
        <x:v>ボット対策</x:v>
      </x:c>
      <x:c r="E63" s="77" t="str">
        <x:v>Cloudflare Turnstileを重要操作へ追加する</x:v>
      </x:c>
      <x:c r="F63" s="83" t="str">
        <x:v>未着手</x:v>
      </x:c>
      <x:c r="G63" s="83" t="str">
        <x:v>P2</x:v>
      </x:c>
      <x:c r="H63" s="84" t="str">
        <x:v>不正登録・大量送信を抑止。未実装</x:v>
      </x:c>
      <x:c r="I63" s="84" t="str">
        <x:v>認証・提出フロー完成後に追加</x:v>
      </x:c>
      <x:c r="J63" s="77" t="str">
        <x:v>サーバー側検証が成功</x:v>
      </x:c>
      <x:c r="K63" s="77" t="str">
        <x:v>web/ / supabase/functions/</x:v>
      </x:c>
      <x:c r="L63" s="88" t="n">
        <x:v>46258</x:v>
      </x:c>
    </x:row>
    <x:row r="64" ht="48" customHeight="1">
      <x:c r="A64" s="62" t="str">
        <x:v>OPS-005</x:v>
      </x:c>
      <x:c r="B64" s="70" t="str">
        <x:f>IF(F64="完了","☑","☐")</x:f>
        <x:v>☐</x:v>
      </x:c>
      <x:c r="C64" s="62" t="str">
        <x:v>公開・セキュリティ</x:v>
      </x:c>
      <x:c r="D64" s="62" t="str">
        <x:v>ドメイン</x:v>
      </x:c>
      <x:c r="E64" s="77" t="str">
        <x:v>独自ドメインと運営者情報を設定する</x:v>
      </x:c>
      <x:c r="F64" s="83" t="str">
        <x:v>要確認</x:v>
      </x:c>
      <x:c r="G64" s="83" t="str">
        <x:v>P2</x:v>
      </x:c>
      <x:c r="H64" s="84" t="str">
        <x:v>本番URLと送信ドメインを確定。未決定</x:v>
      </x:c>
      <x:c r="I64" s="84" t="str">
        <x:v>公開前にドメインを選定</x:v>
      </x:c>
      <x:c r="J64" s="77" t="str">
        <x:v>DNS・HTTPS・運営者表示が確認できる</x:v>
      </x:c>
      <x:c r="K64" s="77" t="str">
        <x:v>Cloudflare / docs/</x:v>
      </x:c>
      <x:c r="L64" s="88" t="n">
        <x:v>46258</x:v>
      </x:c>
    </x:row>
    <x:row r="65" ht="48" customHeight="1">
      <x:c r="A65" s="62" t="str">
        <x:v>OPS-006</x:v>
      </x:c>
      <x:c r="B65" s="70" t="str">
        <x:f>IF(F65="完了","☑","☐")</x:f>
        <x:v>☐</x:v>
      </x:c>
      <x:c r="C65" s="62" t="str">
        <x:v>公開・セキュリティ</x:v>
      </x:c>
      <x:c r="D65" s="62" t="str">
        <x:v>監視</x:v>
      </x:c>
      <x:c r="E65" s="77" t="str">
        <x:v>エラーログ・可用性・API費用を監視する</x:v>
      </x:c>
      <x:c r="F65" s="83" t="str">
        <x:v>未着手</x:v>
      </x:c>
      <x:c r="G65" s="83" t="str">
        <x:v>P2</x:v>
      </x:c>
      <x:c r="H65" s="84" t="str">
        <x:v>障害とコスト増加を検知。未実装</x:v>
      </x:c>
      <x:c r="I65" s="84" t="str">
        <x:v>公開前に最低限の監視を追加</x:v>
      </x:c>
      <x:c r="J65" s="77" t="str">
        <x:v>異常時に通知される</x:v>
      </x:c>
      <x:c r="K65" s="77" t="str">
        <x:v>docs/operations/</x:v>
      </x:c>
      <x:c r="L65" s="88" t="n">
        <x:v>46258</x:v>
      </x:c>
    </x:row>
    <x:row r="66" ht="145" customHeight="1">
      <x:c r="A66" s="77" t="str">
        <x:v>QA-001</x:v>
      </x:c>
      <x:c r="B66" s="231" t="str">
        <x:v>☑</x:v>
      </x:c>
      <x:c r="C66" s="77" t="str">
        <x:v>テスト・運用・法務</x:v>
      </x:c>
      <x:c r="D66" s="77" t="str">
        <x:v>単体テスト</x:v>
      </x:c>
      <x:c r="E66" s="77" t="str">
        <x:v>Vitestで学習ルールと変換処理をテストする</x:v>
      </x:c>
      <x:c r="F66" s="83" t="str">
        <x:v>完了</x:v>
      </x:c>
      <x:c r="G66" s="83" t="str">
        <x:v>P0</x:v>
      </x:c>
      <x:c r="H66" s="84" t="str">
        <x:v>次問をDBへ発行・再取得してから遷移する回帰検査を追加。進級テスト開始を含む関連66テストと、全18ファイル186テストが成功。型検査0エラー・0警告、製品ビルド成功。</x:v>
      </x:c>
      <x:c r="I66" s="84" t="str">
        <x:v>公開画面の実セッションで、訓練から進級テストへの境界と、進級テスト各問の連続遷移を確認する。</x:v>
      </x:c>
      <x:c r="J66" s="77" t="str">
        <x:v>主要ロジックのテストがCIで成功</x:v>
      </x:c>
      <x:c r="K66" s="77" t="str">
        <x:v>web/src/lib/features/learning/ui-copy.test.ts / task-flow.test.ts / progression.test.ts / submission-workflow.test.ts</x:v>
      </x:c>
      <x:c r="L66" s="232" t="n">
        <x:v>46279</x:v>
      </x:c>
    </x:row>
    <x:row r="67" ht="48" customHeight="1">
      <x:c r="A67" s="62" t="str">
        <x:v>QA-002</x:v>
      </x:c>
      <x:c r="B67" s="70" t="str">
        <x:f>IF(F67="完了","☑","☐")</x:f>
        <x:v>☐</x:v>
      </x:c>
      <x:c r="C67" s="62" t="str">
        <x:v>テスト・運用・法務</x:v>
      </x:c>
      <x:c r="D67" s="62" t="str">
        <x:v>画面テスト</x:v>
      </x:c>
      <x:c r="E67" s="77" t="str">
        <x:v>Testing Libraryで主要操作をテストする</x:v>
      </x:c>
      <x:c r="F67" s="83" t="str">
        <x:v>未着手</x:v>
      </x:c>
      <x:c r="G67" s="83" t="str">
        <x:v>P1</x:v>
      </x:c>
      <x:c r="H67" s="84" t="str">
        <x:v>入力・提出・結果表示を自動確認。未導入</x:v>
      </x:c>
      <x:c r="I67" s="84" t="str">
        <x:v>画面分割と合わせて追加</x:v>
      </x:c>
      <x:c r="J67" s="77" t="str">
        <x:v>重要コンポーネントのテストが成功</x:v>
      </x:c>
      <x:c r="K67" s="77" t="str">
        <x:v>web/src/</x:v>
      </x:c>
      <x:c r="L67" s="88" t="n">
        <x:v>46258</x:v>
      </x:c>
    </x:row>
    <x:row r="68" ht="48" customHeight="1">
      <x:c r="A68" s="62" t="str">
        <x:v>QA-003</x:v>
      </x:c>
      <x:c r="B68" s="70" t="str">
        <x:f>IF(F68="完了","☑","☐")</x:f>
        <x:v>☐</x:v>
      </x:c>
      <x:c r="C68" s="62" t="str">
        <x:v>テスト・運用・法務</x:v>
      </x:c>
      <x:c r="D68" s="62" t="str">
        <x:v>E2E</x:v>
      </x:c>
      <x:c r="E68" s="77" t="str">
        <x:v>Playwrightで学習フローを通しテストする</x:v>
      </x:c>
      <x:c r="F68" s="83" t="str">
        <x:v>未着手</x:v>
      </x:c>
      <x:c r="G68" s="83" t="str">
        <x:v>P1</x:v>
      </x:c>
      <x:c r="H68" s="84" t="str">
        <x:v>ログインから結果確認まで自動化。未導入</x:v>
      </x:c>
      <x:c r="I68" s="84" t="str">
        <x:v>ログイン、要修正、修正入力、再提出、合格、進級テスト、再読込、ユーザー分離の主要遷移を自動化する</x:v>
      </x:c>
      <x:c r="J68" s="77" t="str">
        <x:v>主要シナリオがCIで成功</x:v>
      </x:c>
      <x:c r="K68" s="77" t="str">
        <x:v>web/e2e/</x:v>
      </x:c>
      <x:c r="L68" s="88" t="n">
        <x:v>46269</x:v>
      </x:c>
    </x:row>
    <x:row r="69" ht="48" customHeight="1">
      <x:c r="A69" s="62" t="str">
        <x:v>QA-004</x:v>
      </x:c>
      <x:c r="B69" s="70" t="str">
        <x:f>IF(F69="完了","☑","☐")</x:f>
        <x:v>☐</x:v>
      </x:c>
      <x:c r="C69" s="62" t="str">
        <x:v>テスト・運用・法務</x:v>
      </x:c>
      <x:c r="D69" s="62" t="str">
        <x:v>品質</x:v>
      </x:c>
      <x:c r="E69" s="77" t="str">
        <x:v>スマホ・アクセシビリティ・性能を確認する</x:v>
      </x:c>
      <x:c r="F69" s="83" t="str">
        <x:v>未着手</x:v>
      </x:c>
      <x:c r="G69" s="83" t="str">
        <x:v>P1</x:v>
      </x:c>
      <x:c r="H69" s="84" t="str">
        <x:v>主要端末で使いやすく高速。レスポンシブCSS初稿のみ</x:v>
      </x:c>
      <x:c r="I69" s="84" t="str">
        <x:v>主要画面完成後に計測・修正</x:v>
      </x:c>
      <x:c r="J69" s="77" t="str">
        <x:v>基準と確認結果が記録される</x:v>
      </x:c>
      <x:c r="K69" s="77" t="str">
        <x:v>docs/quality/</x:v>
      </x:c>
      <x:c r="L69" s="88" t="n">
        <x:v>46258</x:v>
      </x:c>
    </x:row>
    <x:row r="70" ht="48" customHeight="1">
      <x:c r="A70" s="62" t="str">
        <x:v>QA-005</x:v>
      </x:c>
      <x:c r="B70" s="70" t="str">
        <x:f>IF(F70="完了","☑","☐")</x:f>
        <x:v>☐</x:v>
      </x:c>
      <x:c r="C70" s="62" t="str">
        <x:v>テスト・運用・法務</x:v>
      </x:c>
      <x:c r="D70" s="62" t="str">
        <x:v>法務</x:v>
      </x:c>
      <x:c r="E70" s="77" t="str">
        <x:v>利用規約・プライバシー・未成年対応を整備する</x:v>
      </x:c>
      <x:c r="F70" s="83" t="str">
        <x:v>要確認</x:v>
      </x:c>
      <x:c r="G70" s="83" t="str">
        <x:v>P1</x:v>
      </x:c>
      <x:c r="H70" s="84" t="str">
        <x:v>公開に必要な表示と同意を準備。未決定</x:v>
      </x:c>
      <x:c r="I70" s="84" t="str">
        <x:v>データ保持方針・運営者情報と合わせて作成</x:v>
      </x:c>
      <x:c r="J70" s="77" t="str">
        <x:v>公開画面から文書を確認できる</x:v>
      </x:c>
      <x:c r="K70" s="77" t="str">
        <x:v>docs/legal/</x:v>
      </x:c>
      <x:c r="L70" s="88" t="n">
        <x:v>46258</x:v>
      </x:c>
    </x:row>
    <x:row r="71" ht="48" customHeight="1">
      <x:c r="A71" s="64" t="str">
        <x:v>QA-006</x:v>
      </x:c>
      <x:c r="B71" s="71" t="str">
        <x:f>IF(F71="完了","☑","☐")</x:f>
        <x:v>☐</x:v>
      </x:c>
      <x:c r="C71" s="64" t="str">
        <x:v>テスト・運用・法務</x:v>
      </x:c>
      <x:c r="D71" s="64" t="str">
        <x:v>試験運用</x:v>
      </x:c>
      <x:c r="E71" s="79" t="str">
        <x:v>少人数テストと一般公開判定を行う</x:v>
      </x:c>
      <x:c r="F71" s="85" t="str">
        <x:v>未着手</x:v>
      </x:c>
      <x:c r="G71" s="85" t="str">
        <x:v>P2</x:v>
      </x:c>
      <x:c r="H71" s="86" t="str">
        <x:v>実利用で問題とコストを確認。未実施</x:v>
      </x:c>
      <x:c r="I71" s="86" t="str">
        <x:v>主要機能・監視・法務完了後に開始</x:v>
      </x:c>
      <x:c r="J71" s="79" t="str">
        <x:v>テスト結果と公開判断が記録される</x:v>
      </x:c>
      <x:c r="K71" s="79" t="str">
        <x:v>docs/operations/</x:v>
      </x:c>
      <x:c r="L71" s="89" t="n">
        <x:v>46258</x:v>
      </x:c>
    </x:row>
    <x:row r="72">
      <x:c r="A72" t="str">
        <x:v>ENV-008</x:v>
      </x:c>
      <x:c r="B72" t="str">
        <x:f>IF(F72="完了","☑","☐")</x:f>
        <x:v>☑</x:v>
      </x:c>
      <x:c r="C72" t="str">
        <x:v>基盤・開発環境</x:v>
      </x:c>
      <x:c r="D72" t="str">
        <x:v>進捗管理</x:v>
      </x:c>
      <x:c r="E72" t="str">
        <x:v>開発進捗Excelの日次活動管理を廃止する</x:v>
      </x:c>
      <x:c r="F72" t="str">
        <x:v>完了</x:v>
      </x:c>
      <x:c r="G72" t="str">
        <x:v>P1</x:v>
      </x:c>
      <x:c r="H72" t="str">
        <x:v>2026-08-25の方針変更により、開発進捗Excelの日次活動シートと作業時間集計を削除</x:v>
      </x:c>
      <x:c r="I72" t="str">
        <x:v>作業単位の更新履歴だけを継続し、日次・作業時間は記録しない</x:v>
      </x:c>
      <x:c r="J72" t="str">
        <x:v>日次活動シートと作業時間欄がなく、更新ルールにも日次記録がない</x:v>
      </x:c>
      <x:c r="K72" t="str">
        <x:v>開発進捗管理.xlsx / AGENTS.md</x:v>
      </x:c>
      <x:c r="L72" s="55" t="n">
        <x:v>46259</x:v>
      </x:c>
    </x:row>
    <x:row r="73">
      <x:c r="A73" t="str">
        <x:v>APP-010</x:v>
      </x:c>
      <x:c r="B73" t="str">
        <x:f>IF(F73="完了","☑","☐")</x:f>
        <x:v>☑</x:v>
      </x:c>
      <x:c r="C73" t="str">
        <x:v>アプリ本体・学習機能</x:v>
      </x:c>
      <x:c r="D73" t="str">
        <x:v>活動履歴・仕様</x:v>
      </x:c>
      <x:c r="E73" t="str">
        <x:v>学習活動として数える基準と緑色の段階を決める</x:v>
      </x:c>
      <x:c r="F73" t="str">
        <x:v>完了</x:v>
      </x:c>
      <x:c r="G73" t="str">
        <x:v>P1</x:v>
      </x:c>
      <x:c r="H73" t="str">
        <x:v>モック添削への提出を1活動とし、自動保存は除外。1〜4件以上で緑を濃くする年次表示を設計正本へ記録</x:v>
      </x:c>
      <x:c r="I73" t="str">
        <x:v>Supabase実装時も同じ活動定義を維持できるか確認</x:v>
      </x:c>
      <x:c r="J73" t="str">
        <x:v>活動イベント、日次集計単位、色の段階、表示年の仕様が記録される</x:v>
      </x:c>
      <x:c r="K73" t="str">
        <x:v>docs/architecture.md</x:v>
      </x:c>
      <x:c r="L73" s="55" t="n">
        <x:v>46258</x:v>
      </x:c>
    </x:row>
    <x:row r="74">
      <x:c r="A74" t="str">
        <x:v>APP-011</x:v>
      </x:c>
      <x:c r="B74" t="str">
        <x:f>IF(F74="完了","☑","☐")</x:f>
        <x:v>☑</x:v>
      </x:c>
      <x:c r="C74" t="str">
        <x:v>アプリ本体・学習機能</x:v>
      </x:c>
      <x:c r="D74" t="str">
        <x:v>活動履歴・画面</x:v>
      </x:c>
      <x:c r="E74" t="str">
        <x:v>学習者向けGitHub風の日次活動グリッドを表示する</x:v>
      </x:c>
      <x:c r="F74" t="str">
        <x:v>完了</x:v>
      </x:c>
      <x:c r="G74" t="str">
        <x:v>P1</x:v>
      </x:c>
      <x:c r="H74" t="str">
        <x:v>提出履歴から年次活動グリッドを表示。実DBの提出3件を確認し、狭幅画面では横スクロール外に隠れていた最新活動週を自動表示するよう修正</x:v>
      </x:c>
      <x:c r="I74" t="str">
        <x:v>認証済みE2Eで狭幅・年境界・複数端末表示を確認</x:v>
      </x:c>
      <x:c r="J74" t="str">
        <x:v>本人の活動だけが年単位で表示され、スマホでも日付と活動量を確認できる</x:v>
      </x:c>
      <x:c r="K74" t="str">
        <x:v>web/src/lib/components/ActivityGrid.svelte / web/src/routes/progress/</x:v>
      </x:c>
      <x:c r="L74" s="55" t="n">
        <x:v>46261</x:v>
      </x:c>
    </x:row>
    <x:row r="75">
      <x:c r="A75" t="str">
        <x:v>DB-007</x:v>
      </x:c>
      <x:c r="B75" t="str">
        <x:f>IF(F75="完了","☑","☐")</x:f>
        <x:v>☑</x:v>
      </x:c>
      <x:c r="C75" t="str">
        <x:v>DB・権限</x:v>
      </x:c>
      <x:c r="D75" t="str">
        <x:v>活動履歴・集計</x:v>
      </x:c>
      <x:c r="E75" t="str">
        <x:v>ユーザー別の学習活動を保存し日単位で安全に集計する</x:v>
      </x:c>
      <x:c r="F75" t="str">
        <x:v>完了</x:v>
      </x:c>
      <x:c r="G75" t="str">
        <x:v>P1</x:v>
      </x:c>
      <x:c r="H75" t="str">
        <x:v>別の活動テーブルは作らず、RLSで本人だけ取得できるsubmissionsのsubmitted_atを日別集計する構成に決定・実装</x:v>
      </x:c>
      <x:c r="I75" t="str">
        <x:v>データ量増加時に年単位取得またはDB集計の必要性を評価</x:v>
      </x:c>
      <x:c r="J75" t="str">
        <x:v>RLSで本人の活動だけを取得でき、日付別集計が重複なく返る</x:v>
      </x:c>
      <x:c r="K75" t="str">
        <x:v>web/src/lib/features/learning/learning-service.ts / web/src/lib/features/learning/local-store.ts</x:v>
      </x:c>
      <x:c r="L75" s="55" t="n">
        <x:v>46259</x:v>
      </x:c>
    </x:row>
    <x:row r="76">
      <x:c r="A76" t="str">
        <x:v>QA-007</x:v>
      </x:c>
      <x:c r="B76" t="str">
        <x:f>IF(F76="完了","☑","☐")</x:f>
        <x:v>☐</x:v>
      </x:c>
      <x:c r="C76" t="str">
        <x:v>テスト・運用・法務</x:v>
      </x:c>
      <x:c r="D76" t="str">
        <x:v>活動履歴テスト</x:v>
      </x:c>
      <x:c r="E76" t="str">
        <x:v>日次活動の集計・権限・グリッド表示をテストする</x:v>
      </x:c>
      <x:c r="F76" t="str">
        <x:v>進行中</x:v>
      </x:c>
      <x:c r="G76" t="str">
        <x:v>P1</x:v>
      </x:c>
      <x:c r="H76" t="str">
        <x:v>ローカル集計と実DBのRLSに加え、提出3件の日時と表示対象年を確認。最新活動週の自動表示を実装し、型検査・53テストが成功</x:v>
      </x:c>
      <x:c r="I76" t="str">
        <x:v>年境界・タイムゾーン・狭幅画面の表示を認証済みE2Eへ追加</x:v>
      </x:c>
      <x:c r="J76" t="str">
        <x:v>主要境界条件と権限ケースがCIで成功する</x:v>
      </x:c>
      <x:c r="K76" t="str">
        <x:v>web/src/lib/features/learning/local-store.test.ts / supabase/tests/learner_data_rls.sql</x:v>
      </x:c>
      <x:c r="L76" s="55" t="n">
        <x:v>46261</x:v>
      </x:c>
    </x:row>
    <x:row r="77">
      <x:c r="A77" t="str">
        <x:v>CUR-007</x:v>
      </x:c>
      <x:c r="B77" t="str">
        <x:f>IF(F77="完了","☑","☐")</x:f>
        <x:v>☑</x:v>
      </x:c>
      <x:c r="C77" t="str">
        <x:v>カリキュラム</x:v>
      </x:c>
      <x:c r="D77" t="str">
        <x:v>問題バンク・出題</x:v>
      </x:c>
      <x:c r="E77" t="str">
        <x:v>各段階で異なる問題を履歴に基づいて循環出題する</x:v>
      </x:c>
      <x:c r="F77" t="str">
        <x:v>完了</x:v>
      </x:c>
      <x:c r="G77" t="str">
        <x:v>P0</x:v>
      </x:c>
      <x:c r="H77" t="str">
        <x:v>STEP 4〜14は78の固定論点から、履歴の使用回数・分野・類似度を考慮して未出題を優先する。自由設定では1〜3テーマを順に使い、テーマ固有IDで固定論点や別テーマとの混在を防ぐ。</x:v>
      </x:c>
      <x:c r="I77" t="str">
        <x:v>実アカウントで固定論点の循環、自由テーマ切替、過去問題との重複回避を確認する。</x:v>
      </x:c>
      <x:c r="J77" t="str">
        <x:v>同じ段階で未出題が優先され、直前と同一問題が連続しない</x:v>
      </x:c>
      <x:c r="K77" t="str">
        <x:v>web/src/lib/data/essay-topic-bank.ts / web/src/lib/features/learning/progression.ts / problem-generator.ts</x:v>
      </x:c>
      <x:c r="L77" s="55" t="n">
        <x:v>46275</x:v>
      </x:c>
    </x:row>
    <x:row r="78">
      <x:c r="A78" t="str">
        <x:v>APP-012</x:v>
      </x:c>
      <x:c r="B78" t="str">
        <x:f>IF(F78="完了","☑","☐")</x:f>
        <x:v>☑</x:v>
      </x:c>
      <x:c r="C78" t="str">
        <x:v>アプリ本体・学習機能</x:v>
      </x:c>
      <x:c r="D78" t="str">
        <x:v>段階進級・設定</x:v>
      </x:c>
      <x:c r="E78" t="str">
        <x:v>通常トレーニング・進級テストのループと回数設定を実装する</x:v>
      </x:c>
      <x:c r="F78" t="str">
        <x:v>完了</x:v>
      </x:c>
      <x:c r="G78" t="str">
        <x:v>P0</x:v>
      </x:c>
      <x:c r="H78" t="str">
        <x:v>進級テスト開始直後の入力ロック修正に加え、提出結果より次段階の解放が先に反映された場合でも、未確認の合否・解説を飛ばさない遷移境界を全段階へ共通実装した。次問発行は結果画面の「次の問題へ」を押した後だけ行う。</x:v>
      </x:c>
      <x:c r="I78" t="str">
        <x:v>認証済み公開画面で、STEP 2の再提出合格と通常合格、進級テスト合否をそれぞれ確認し、解説表示後の操作だけで次問・次段階へ進むことを確認する。</x:v>
      </x:c>
      <x:c r="J78" t="str">
        <x:v>通常トレーニングの合格数が減らず、進級テストで不合格を挟んでも規定合格数で次段階へ進む</x:v>
      </x:c>
      <x:c r="K78" t="str">
        <x:v>web/src/routes/tasks/[taskId]/+page.svelte / web/src/lib/features/learning/ui-copy.test.ts</x:v>
      </x:c>
      <x:c r="L78" s="55" t="n">
        <x:v>46280</x:v>
      </x:c>
    </x:row>
    <x:row r="79">
      <x:c r="A79" t="str">
        <x:v>DB-008</x:v>
      </x:c>
      <x:c r="B79" t="str">
        <x:v>☑</x:v>
      </x:c>
      <x:c r="C79" t="str">
        <x:v>DB・権限</x:v>
      </x:c>
      <x:c r="D79" t="str">
        <x:v>段階進捗</x:v>
      </x:c>
      <x:c r="E79" t="str">
        <x:v>学習フェーズ・合格数・設定・修了状態を安全に永続化する</x:v>
      </x:c>
      <x:c r="F79" t="str">
        <x:v>完了</x:v>
      </x:c>
      <x:c r="G79" t="str">
        <x:v>P0</x:v>
      </x:c>
      <x:c r="H79" t="str">
        <x:v>14段階対応と段階1不合格セットの一回完了処理をmigrationで開発DBへ適用。RLS・進級・冪等性テスト成功</x:v>
      </x:c>
      <x:c r="I79" t="str">
        <x:v>実ユーザーの既存進捗と段階番号変更の扱いをE2Eで確認</x:v>
      </x:c>
      <x:c r="J79" t="str">
        <x:v>再提出を履歴保存し、二重計上・別段階提出・進捗改ざんを拒否する</x:v>
      </x:c>
      <x:c r="K79" t="str">
        <x:v>supabase/migrations/202609020001_fourteen_stage_curriculum.sql / supabase/tests/learner_data_rls.sql</x:v>
      </x:c>
      <x:c r="L79" s="55" t="n">
        <x:v>46267</x:v>
      </x:c>
    </x:row>
    <x:row r="80" ht="110" customHeight="1">
      <x:c r="A80" s="211" t="str">
        <x:v>QA-008</x:v>
      </x:c>
      <x:c r="B80" s="211" t="str">
        <x:v>☐</x:v>
      </x:c>
      <x:c r="C80" s="211" t="str">
        <x:v>テスト・運用・法務</x:v>
      </x:c>
      <x:c r="D80" s="211" t="str">
        <x:v>進級・出題テスト</x:v>
      </x:c>
      <x:c r="E80" s="211" t="str">
        <x:v>問題循環・累積合格・設定・既存データ移行を検証する</x:v>
      </x:c>
      <x:c r="F80" s="211" t="str">
        <x:v>進行中</x:v>
      </x:c>
      <x:c r="G80" s="211" t="str">
        <x:v>P0</x:v>
      </x:c>
      <x:c r="H80" s="211" t="str">
        <x:v>提出結果を未確認のまま自動遷移しない共通状態を追加。古い提出IDは30分で失効する一方、保存済み結果の表示待ちは学習者の操作まで保持する。空の解説を拒否し、最大5問の解説を受け入れる単体・画面・SQL契約テストを追加した。全18ファイル190テスト、型検査、製品ビルドが成功。</x:v>
      </x:c>
      <x:c r="I80" s="211" t="str">
        <x:v>公開版でSTEP 2の要修正→再提出合格、STEP 1の5問合格、STEP 4以降の単問合格、進級テスト不合格・合格を操作し、すべて解説表示後にのみ遷移することを確認する。</x:v>
      </x:c>
      <x:c r="J80" s="211" t="str">
        <x:v>ローカル・実DB・E2Eの主要境界ケースが成功する</x:v>
      </x:c>
      <x:c r="K80" s="211" t="str">
        <x:v>web/src/lib/features/learning/submission-workflow.ts / learning-service.ts / ui-copy.test.ts / sql-contract.test.ts</x:v>
      </x:c>
      <x:c r="L80" s="213" t="n">
        <x:v>46280</x:v>
      </x:c>
    </x:row>
    <x:row r="81" ht="140" customHeight="1">
      <x:c r="A81" s="211" t="str">
        <x:v>APP-013</x:v>
      </x:c>
      <x:c r="B81" s="211" t="str">
        <x:v>☐</x:v>
      </x:c>
      <x:c r="C81" s="211" t="str">
        <x:v>アプリ本体・学習機能</x:v>
      </x:c>
      <x:c r="D81" s="211" t="str">
        <x:v>問題生成・類似回避</x:v>
      </x:c>
      <x:c r="E81" s="211" t="str">
        <x:v>問題数を固定せず段階別特徴署名で異なる傾向を選ぶ</x:v>
      </x:c>
      <x:c r="F81" s="211" t="str">
        <x:v>要確認</x:v>
      </x:c>
      <x:c r="G81" s="211" t="str">
        <x:v>P0</x:v>
      </x:c>
      <x:c r="H81" s="211" t="str">
        <x:v>段階別特徴署名による類似回避に、78論点と自由設定テーマを追加。ランダム利用者には自由テーマ由来の共有問題を出さず、自由設定では一致するテーマ固有IDの問題だけを再利用する。</x:v>
      </x:c>
      <x:c r="I81" s="211" t="str">
        <x:v>認証済みE2Eで自由テーマのClaude生成・同テーマ再利用・ランダム設定への非混入・履歴復元を確認する。</x:v>
      </x:c>
      <x:c r="J81" s="211" t="str">
        <x:v>履歴・技能統計から説明可能に次の訓練目標を選び、同一傾向を避けられる</x:v>
      </x:c>
      <x:c r="K81" s="211" t="str">
        <x:v>web/src/lib/features/learning/topic-preferences.ts / progression.ts / problem-generator.ts / docs/architecture.md</x:v>
      </x:c>
      <x:c r="L81" s="213" t="n">
        <x:v>46275</x:v>
      </x:c>
    </x:row>
    <x:row r="82">
      <x:c r="A82" t="str">
        <x:v>APP-014</x:v>
      </x:c>
      <x:c r="B82" t="str">
        <x:f>IF(F82="完了","☑","☐")</x:f>
        <x:v>☑</x:v>
      </x:c>
      <x:c r="C82" t="str">
        <x:v>アプリ本体・学習機能</x:v>
      </x:c>
      <x:c r="D82" t="str">
        <x:v>段階移動</x:v>
      </x:c>
      <x:c r="E82" t="str">
        <x:v>到達済み段階へ戻り再訓練できるようにする</x:v>
      </x:c>
      <x:c r="F82" t="str">
        <x:v>完了</x:v>
      </x:c>
      <x:c r="G82" t="str">
        <x:v>P0</x:v>
      </x:c>
      <x:c r="H82" t="str">
        <x:v>現在段階と最高到達段階を分離し、到達済み段階を選択可能。移動時は通常トレーニングから開始し、最高到達・修了・問題履歴を保持</x:v>
      </x:c>
      <x:c r="I82" t="str">
        <x:v>実ユーザーで段階往復後の同期を確認</x:v>
      </x:c>
      <x:c r="J82" t="str">
        <x:v>未解放段階は選べず、戻っても最高到達段階・修了記録・問題履歴が残る</x:v>
      </x:c>
      <x:c r="K82" t="str">
        <x:v>web/src/lib/features/learning/ / web/src/routes/tasks/ / web/src/routes/progress/</x:v>
      </x:c>
      <x:c r="L82" s="55" t="n">
        <x:v>46261</x:v>
      </x:c>
    </x:row>
    <x:row r="83">
      <x:c r="A83" t="str">
        <x:v>DB-009</x:v>
      </x:c>
      <x:c r="B83" t="str">
        <x:v>☑</x:v>
      </x:c>
      <x:c r="C83" t="str">
        <x:v>DB・権限</x:v>
      </x:c>
      <x:c r="D83" t="str">
        <x:v>問題履歴・特徴</x:v>
      </x:c>
      <x:c r="E83" t="str">
        <x:v>発行済み問題と段階別特徴署名を本人限定で永続化する</x:v>
      </x:c>
      <x:c r="F83" t="str">
        <x:v>完了</x:v>
      </x:c>
      <x:c r="G83" t="str">
        <x:v>P0</x:v>
      </x:c>
      <x:c r="H83" t="str">
        <x:v>実DBでfeature_signature v2、問題履歴、問題指紋、技能統計の本人分離と原子的保存を検証済み</x:v>
      </x:c>
      <x:c r="I83" t="str">
        <x:v>Claude問題生成接続後に生成元・版・類似回避を実測する</x:v>
      </x:c>
      <x:c r="J83" t="str">
        <x:v>本人履歴だけ読め、問題仕様・生成版・技能統計が原子的かつ安全に保存される</x:v>
      </x:c>
      <x:c r="K83" t="str">
        <x:v>supabase/migrations/202608210001_initial_schema.sql / supabase/tests/learner_data_rls.sql</x:v>
      </x:c>
      <x:c r="L83" s="55" t="n">
        <x:v>46260</x:v>
      </x:c>
    </x:row>
    <x:row r="84" ht="145" customHeight="1">
      <x:c r="A84" s="211" t="str">
        <x:v>QA-009</x:v>
      </x:c>
      <x:c r="B84" s="211" t="str">
        <x:v>☐</x:v>
      </x:c>
      <x:c r="C84" s="211" t="str">
        <x:v>テスト・運用・法務</x:v>
      </x:c>
      <x:c r="D84" s="211" t="str">
        <x:v>動的出題・段階往復</x:v>
      </x:c>
      <x:c r="E84" s="211" t="str">
        <x:v>問題生成、特徴検証、旧データ移行、段階往復を回帰テストする</x:v>
      </x:c>
      <x:c r="F84" s="211" t="str">
        <x:v>進行中</x:v>
      </x:c>
      <x:c r="G84" s="211" t="str">
        <x:v>P0</x:v>
      </x:c>
      <x:c r="H84" s="211" t="str">
        <x:v>固定78論点と自由テーマについて、特徴署名、テーマ固有ID、問題URL復元、STEP 4未満の拒否、20文字上限、固定問題との分離を回帰テストへ追加。全166テストと製品ビルドが成功。</x:v>
      </x:c>
      <x:c r="I84" s="211" t="str">
        <x:v>公開環境で設定変更前後の未提出問題維持と、次問への反映を認証済みE2Eで確認する。</x:v>
      </x:c>
      <x:c r="J84" s="211" t="str">
        <x:v>ローカル・実DB・E2Eで適応出題、履歴、段階状態、二重計上防止が一致する</x:v>
      </x:c>
      <x:c r="K84" s="211" t="str">
        <x:v>web/src/lib/features/learning/problem-generator.test.ts / progression.test.ts / sql-contract.test.ts</x:v>
      </x:c>
      <x:c r="L84" s="213" t="n">
        <x:v>46275</x:v>
      </x:c>
    </x:row>
    <x:row r="85" ht="48" customHeight="1">
      <x:c r="A85" t="str">
        <x:v>CUR-008</x:v>
      </x:c>
      <x:c r="B85" t="str">
        <x:v>☑</x:v>
      </x:c>
      <x:c r="C85" t="str">
        <x:v>カリキュラム</x:v>
      </x:c>
      <x:c r="D85" t="str">
        <x:v>適応出題設計</x:v>
      </x:c>
      <x:c r="E85" t="str">
        <x:v>14段階の技能分類と問題設計図を定義する</x:v>
      </x:c>
      <x:c r="F85" t="str">
        <x:v>完了</x:v>
      </x:c>
      <x:c r="G85" t="str">
        <x:v>P0</x:v>
      </x:c>
      <x:c r="H85" s="211" t="str">
        <x:v>全14段階の技能順序を維持しつつ、STEP 1〜3の固定10セットを個別設計。STEP 7・9・10・12・14は、素材の役割、残す・除く情報、反対意見への応答、資料と自分の意見の区別を課題文へ明記した。</x:v>
      </x:c>
      <x:c r="I85" s="211" t="str">
        <x:v>実利用結果をもとに各セットの負荷、語彙、指示の理解しやすさ、標準合格数を再評価する。</x:v>
      </x:c>
      <x:c r="J85" s="211" t="str">
        <x:v>各段階の訓練目標・必須要素・特徴がコードと設計書で一致する</x:v>
      </x:c>
      <x:c r="K85" s="211" t="str">
        <x:v>docs/architecture.md / web/src/lib/features/learning/learning-design.ts / web/scripts/convert-curriculum.ts</x:v>
      </x:c>
      <x:c r="L85" s="55" t="n">
        <x:v>46275</x:v>
      </x:c>
    </x:row>
    <x:row r="86" ht="48" customHeight="1">
      <x:c r="A86" t="str">
        <x:v>APP-015</x:v>
      </x:c>
      <x:c r="B86" t="str">
        <x:v>☑</x:v>
      </x:c>
      <x:c r="C86" t="str">
        <x:v>アプリ本体・学習機能</x:v>
      </x:c>
      <x:c r="D86" t="str">
        <x:v>適応学習</x:v>
      </x:c>
      <x:c r="E86" t="str">
        <x:v>過去の誤り・苦手技能・題材経験から次問を選ぶ</x:v>
      </x:c>
      <x:c r="F86" t="str">
        <x:v>完了</x:v>
      </x:c>
      <x:c r="G86" t="str">
        <x:v>P0</x:v>
      </x:c>
      <x:c r="H86" s="211" t="str">
        <x:v>苦手50%・中核30%・未経験20%を決定的に選択。直近結果と十分な試行数を考慮し、初回合格を苦手扱いしないよう境界条件も修正</x:v>
      </x:c>
      <x:c r="I86" s="211" t="str">
        <x:v>実ユーザーの学習ログで閾値と配分を調整</x:v>
      </x:c>
      <x:c r="J86" s="211" t="str">
        <x:v>同じ履歴から同じ選択結果が得られ、苦手偏重と題材固定を防げる</x:v>
      </x:c>
      <x:c r="K86" s="211" t="str">
        <x:v>web/src/lib/features/learning/mastery.ts / progression.ts / problem-generator.ts</x:v>
      </x:c>
      <x:c r="L86" s="92" t="n">
        <x:v>46260</x:v>
      </x:c>
    </x:row>
    <x:row r="87" ht="145" customHeight="1">
      <x:c r="A87" s="211" t="str">
        <x:v>DB-010</x:v>
      </x:c>
      <x:c r="B87" s="211" t="str">
        <x:v>☑</x:v>
      </x:c>
      <x:c r="C87" s="211" t="str">
        <x:v>DB・権限</x:v>
      </x:c>
      <x:c r="D87" s="211" t="str">
        <x:v>適応学習データ</x:v>
      </x:c>
      <x:c r="E87" s="211" t="str">
        <x:v>技能別結果・習熟度・共有問題バンクを安全に保存する</x:v>
      </x:c>
      <x:c r="F87" s="211" t="str">
        <x:v>完了</x:v>
      </x:c>
      <x:c r="G87" s="211" t="str">
        <x:v>P0</x:v>
      </x:c>
      <x:c r="H87" s="211" t="str">
        <x:v>共有問題バンクへtrial状態を追加し、生成時の独立品質審査、問題別試行回数、最終処理理由を保存する。合格した共通テーマ問題だけapprovedへ昇格し、自由テーマはprivate_verifiedとして共有しない。5回目の要修正ではrejectedへ移し、履歴を閉じて模範解答を返す。サービスロール専用表とRLSをオンラインDBで検証済み。</x:v>
      </x:c>
      <x:c r="I87" s="211" t="str">
        <x:v>実Claude生成E2E後もtrial隔離、5回終了、共通テーマ合格時だけの共有昇格、自由テーマ非共有を定期回帰テストする。</x:v>
      </x:c>
      <x:c r="J87" s="211" t="str">
        <x:v>本人の技能統計が隔離され、承認済み問題を安全に共有・再利用できる</x:v>
      </x:c>
      <x:c r="K87" s="211" t="str">
        <x:v>supabase/migrations/202609110003_generated_problem_quality_lifecycle.sql / supabase/tests/generated_problem_quality_lifecycle.sql / web/src/lib/types/database.ts</x:v>
      </x:c>
      <x:c r="L87" s="213" t="n">
        <x:v>46276</x:v>
      </x:c>
    </x:row>
    <x:row r="88" ht="145" customHeight="1">
      <x:c r="A88" s="211" t="str">
        <x:v>AI-008</x:v>
      </x:c>
      <x:c r="B88" s="211" t="str">
        <x:v>☐</x:v>
      </x:c>
      <x:c r="C88" s="211" t="str">
        <x:v>AI添削</x:v>
      </x:c>
      <x:c r="D88" s="211" t="str">
        <x:v>問題生成</x:v>
      </x:c>
      <x:c r="E88" s="211" t="str">
        <x:v>Claudeで自然な問題文を生成・検証し問題バンクへ蓄積する</x:v>
      </x:c>
      <x:c r="F88" s="211" t="str">
        <x:v>要確認</x:v>
      </x:c>
      <x:c r="G88" s="211" t="str">
        <x:v>P0</x:v>
      </x:c>
      <x:c r="H88" s="211" t="str">
        <x:v>Claudeのinformation_selection生成指示と構造検査を簡潔な自然文へ対応。問題文は意見・目的・方針・話題と番号付き材料を示し、2文以内で組み合わせ方と言い換え可を伝える。入力契約は短い有効表現を許可しつつ、使う材料と除く材料が不明な問題は引き続き拒否する。生成プロンプト版はproblem-generation-v5。</x:v>
      </x:c>
      <x:c r="I88" s="211" t="str">
        <x:v>認証済みテスト利用者でSTEP 2の固定10セット後にClaude生成を実行し、簡潔さと採点条件の一致を確認する。</x:v>
      </x:c>
      <x:c r="J88" s="211" t="str">
        <x:v>不正・重複・条件逸脱問題を発行せず、生成コストと版を記録できる</x:v>
      </x:c>
      <x:c r="K88" s="211" t="str">
        <x:v>supabase/functions/_shared/problem-generation-prompt.ts / problem-generation-contract.ts / problem-quality-prompt.ts</x:v>
      </x:c>
      <x:c r="L88" s="213" t="n">
        <x:v>46277</x:v>
      </x:c>
    </x:row>
    <x:row r="89" ht="145" customHeight="1">
      <x:c r="A89" s="211" t="str">
        <x:v>QA-010</x:v>
      </x:c>
      <x:c r="B89" s="211" t="str">
        <x:v>☐</x:v>
      </x:c>
      <x:c r="C89" s="211" t="str">
        <x:v>テスト・運用・法務</x:v>
      </x:c>
      <x:c r="D89" s="211" t="str">
        <x:v>適応出題・生成</x:v>
      </x:c>
      <x:c r="E89" s="211" t="str">
        <x:v>苦手反映・多様性・生成検証・フォールバックを検証する</x:v>
      </x:c>
      <x:c r="F89" s="211" t="str">
        <x:v>要確認</x:v>
      </x:c>
      <x:c r="G89" s="211" t="str">
        <x:v>P0</x:v>
      </x:c>
      <x:c r="H89" s="211" t="str">
        <x:v>固定問題消費後のtrial問題IDから試用識別子が失われ、DBの発行済み問題と一致しないため入力がロックされる原因を特定・修正。STEP 1〜14、選択式・記述式、自由テーマ、QA識別子を同じ復元処理で検査し、既存の提出・修正フローを含む182テストが成功した。</x:v>
      </x:c>
      <x:c r="I89" s="211" t="str">
        <x:v>QAテスト利用者でSTEP 1の進級テストと、STEP 2・3・4の固定問題消費後を開き、入力・下書き・提出・履歴復元を実画面で確認する。</x:v>
      </x:c>
      <x:c r="J89" s="211" t="str">
        <x:v>決定的単体テスト、RLS、E2E、生成異常系が成功し、AI上限について所有者の明示承認を得る</x:v>
      </x:c>
      <x:c r="K89" s="211" t="str">
        <x:v>web/src/lib/features/learning/problem-generator.ts / problem-generator.test.ts / web/src/lib/features/learning/task-flow.ts</x:v>
      </x:c>
      <x:c r="L89" s="213" t="n">
        <x:v>46277</x:v>
      </x:c>
    </x:row>
    <x:row r="90" ht="140" customHeight="1">
      <x:c r="A90" s="211" t="str">
        <x:v>CUR-009</x:v>
      </x:c>
      <x:c r="B90" s="211" t="str">
        <x:v>☑</x:v>
      </x:c>
      <x:c r="C90" s="211" t="str">
        <x:v>カリキュラム</x:v>
      </x:c>
      <x:c r="D90" s="211" t="str">
        <x:v>全体再設計</x:v>
      </x:c>
      <x:c r="E90" s="211" t="str">
        <x:v>14段階の学習順序と段階別到達目標を実装する</x:v>
      </x:c>
      <x:c r="F90" s="211" t="str">
        <x:v>完了</x:v>
      </x:c>
      <x:c r="G90" s="211" t="str">
        <x:v>P0</x:v>
      </x:c>
      <x:c r="H90" s="211" t="str">
        <x:v>14段階の学習順序を維持し、STEP 1を5種の基礎小問、STEP 2を一文構成3操作、STEP 3を論理の流れ3操作として各10セット個別設計。STEP 4以降の10論点も設問・根拠・反対意見を統一した。</x:v>
      </x:c>
      <x:c r="I90" s="211" t="str">
        <x:v>実利用結果をもとに、問題文だけで題意を理解できるか、語彙と負荷が段階に合うかを継続確認する。</x:v>
      </x:c>
      <x:c r="J90" s="211" t="str">
        <x:v>画面・設計書・問題生成で14段階が一致する</x:v>
      </x:c>
      <x:c r="K90" s="211" t="str">
        <x:v>docs/architecture.md / web/scripts/convert-curriculum.ts / web/src/lib/data/curriculum.json</x:v>
      </x:c>
      <x:c r="L90" s="213" t="n">
        <x:v>46275</x:v>
      </x:c>
    </x:row>
    <x:row r="91" ht="140" customHeight="1">
      <x:c r="A91" s="211" t="str">
        <x:v>APP-016</x:v>
      </x:c>
      <x:c r="B91" s="211" t="str">
        <x:v>☑</x:v>
      </x:c>
      <x:c r="C91" s="211" t="str">
        <x:v>アプリ本体・学習機能</x:v>
      </x:c>
      <x:c r="D91" s="211" t="str">
        <x:v>段階1・基礎問題</x:v>
      </x:c>
      <x:c r="E91" s="211" t="str">
        <x:v>5問1セットの表示・採点・解説画面を実装する</x:v>
      </x:c>
      <x:c r="F91" s="211" t="str">
        <x:v>完了</x:v>
      </x:c>
      <x:c r="G91" s="211" t="str">
        <x:v>P0</x:v>
      </x:c>
      <x:c r="H91" s="211" t="str">
        <x:v>STEP 1の不自然な「私は読書がを続けている」を、実際に起こり得る「図書館で通っている」から「図書館に通っている」へ直す助詞問題へ変更。固定問題版をadaptive-local-v14へ更新し、未提出の旧問題を現行内容へ更新できるようにした。</x:v>
      </x:c>
      <x:c r="I91" s="211" t="str">
        <x:v>公開画面で新しい助詞問題の表示・選択・提出・解説を確認する。</x:v>
      </x:c>
      <x:c r="J91" s="211" t="str">
        <x:v>5問をまとめて提出でき、正誤・正解・理由が全問表示される</x:v>
      </x:c>
      <x:c r="K91" s="211" t="str">
        <x:v>web/src/lib/features/learning/curated-question-sets.ts / learning-design.ts / problem-generator.test.ts</x:v>
      </x:c>
      <x:c r="L91" s="213" t="n">
        <x:v>46277</x:v>
      </x:c>
    </x:row>
    <x:row r="92" ht="155" customHeight="1">
      <x:c r="A92" s="211" t="str">
        <x:v>DB-011</x:v>
      </x:c>
      <x:c r="B92" s="211" t="str">
        <x:v>☑</x:v>
      </x:c>
      <x:c r="C92" s="211" t="str">
        <x:v>DB・権限</x:v>
      </x:c>
      <x:c r="D92" s="211" t="str">
        <x:v>14段階・段階1保存</x:v>
      </x:c>
      <x:c r="E92" s="211" t="str">
        <x:v>14段階と段階1一回完了をDBへ反映する</x:v>
      </x:c>
      <x:c r="F92" s="211" t="str">
        <x:v>完了</x:v>
      </x:c>
      <x:c r="G92" s="211" t="str">
        <x:v>P0</x:v>
      </x:c>
      <x:c r="H92" s="211" t="str">
        <x:v>最高到達段階のフェーズ・合格数・受験数を保存する列と保護トリガーを追加。最高到達段階は減少不可とし、復習中の提出も先の段階の解放状態を変更しない。進級成立時は同一トランザクション内で次段階を解放する。</x:v>
      </x:c>
      <x:c r="I92" s="211" t="str">
        <x:v>認証済みE2Eで進級直後・ページ移動後・復習後のDB値が一致することを確認する。</x:v>
      </x:c>
      <x:c r="J92" s="211" t="str">
        <x:v>段階14を保存でき、段階1の答え公開後に同じセットを再提出できない</x:v>
      </x:c>
      <x:c r="K92" s="211" t="str">
        <x:v>supabase/migrations/202609020001_fourteen_stage_curriculum.sql / 202609020002_stage_one_skill_targets.sql / 202609020003_expand_skill_allowlist.sql</x:v>
      </x:c>
      <x:c r="L92" s="213" t="n">
        <x:v>46272</x:v>
      </x:c>
    </x:row>
    <x:row r="93" ht="155" customHeight="1">
      <x:c r="A93" s="211" t="str">
        <x:v>QA-011</x:v>
      </x:c>
      <x:c r="B93" s="211" t="str">
        <x:v>☑</x:v>
      </x:c>
      <x:c r="C93" s="211" t="str">
        <x:v>テスト・運用・法務</x:v>
      </x:c>
      <x:c r="D93" s="211" t="str">
        <x:v>14段階・段階1回帰</x:v>
      </x:c>
      <x:c r="E93" s="211" t="str">
        <x:v>14段階と5問セットの回帰テストを行う</x:v>
      </x:c>
      <x:c r="F93" s="211" t="str">
        <x:v>完了</x:v>
      </x:c>
      <x:c r="G93" s="211" t="str">
        <x:v>P0</x:v>
      </x:c>
      <x:c r="H93" s="211" t="str">
        <x:v>全STEP 1〜13について進級テストの規定合格到達直後に次段階が解放されることを単体検証。復習前後の進級状態保存・復元とDB契約を追加し、127テスト、型検査、製品ビルド、migration適用が成功。</x:v>
      </x:c>
      <x:c r="I93" s="211" t="str">
        <x:v>認証済み画面E2EでSTEP 4から5と、別の代表段階の進級・復習往復を確認する。</x:v>
      </x:c>
      <x:c r="J93" s="211" t="str">
        <x:v>ローカル・DBで段階数、採点、進級、履歴が一致する</x:v>
      </x:c>
      <x:c r="K93" s="211" t="str">
        <x:v>web/src/**/*.test.ts / supabase/tests/learner_data_rls.sql</x:v>
      </x:c>
      <x:c r="L93" s="213" t="n">
        <x:v>46272</x:v>
      </x:c>
    </x:row>
    <x:row r="94" ht="145" customHeight="1">
      <x:c r="A94" s="211" t="str">
        <x:v>AI-009</x:v>
      </x:c>
      <x:c r="B94" s="211" t="str">
        <x:v>☐</x:v>
      </x:c>
      <x:c r="C94" s="211" t="str">
        <x:v>AI添削</x:v>
      </x:c>
      <x:c r="D94" s="211" t="str">
        <x:v>利用量・予算制御</x:v>
      </x:c>
      <x:c r="E94" s="211" t="str">
        <x:v>問題生成と添削のトークン使用量・回数・費用を制御する</x:v>
      </x:c>
      <x:c r="F94" s="211" t="str">
        <x:v>進行中</x:v>
      </x:c>
      <x:c r="G94" s="211" t="str">
        <x:v>P0</x:v>
      </x:c>
      <x:c r="H94" s="211" t="str">
        <x:v>問題生成に加え、独立品質審査と不合格時1回だけの修正生成について暫定予算・日次回数・実使用量記録を追加。品質審査は入力14,000・出力2,200、1日6回、修正生成は入力18,000・出力3,500、1日3回の暫定安全値とし、ai_usage_eventsへ工程別に記録する。</x:v>
      </x:c>
      <x:c r="I94" s="211" t="str">
        <x:v>実生成で各工程の入力・出力トークン、応答時間、1問当たり費用、修正発生率、品質を測定する。最終リリーステストで問題生成・審査・修正・添削の暫定上限をサービス責任者へ必ず確認する。</x:v>
      </x:c>
      <x:c r="J94" s="211" t="str">
        <x:v>暫定値を本番へ流用せず、所有者確認済みの上限で品質・費用テストが成功しreview_statusがapprovedになる</x:v>
      </x:c>
      <x:c r="K94" s="211" t="str">
        <x:v>supabase/functions/problem-generation/index.ts / supabase/migrations/202609110003_generated_problem_quality_lifecycle.sql / docs/architecture.md</x:v>
      </x:c>
      <x:c r="L94" s="213" t="n">
        <x:v>46276</x:v>
      </x:c>
    </x:row>
    <x:row r="95" ht="140" customHeight="1">
      <x:c r="A95" s="211" t="str">
        <x:v>CUR-010</x:v>
      </x:c>
      <x:c r="B95" s="211" t="str">
        <x:v>☑</x:v>
      </x:c>
      <x:c r="C95" s="211" t="str">
        <x:v>カリキュラム</x:v>
      </x:c>
      <x:c r="D95" s="211" t="str">
        <x:v>課題文</x:v>
      </x:c>
      <x:c r="E95" s="211" t="str">
        <x:v>STEP3の解答形式を明確化する</x:v>
      </x:c>
      <x:c r="F95" s="211" t="str">
        <x:v>完了</x:v>
      </x:c>
      <x:c r="G95" s="211" t="str">
        <x:v>P0</x:v>
      </x:c>
      <x:c r="H95" s="211" t="str">
        <x:v>旧STEP 3の単純な接続詞補充を廃止。文の順序、論理の不足、重複・脱線の修正を扱う3問セットへ置換し、課題文・ヒント・解答例・採点指示を一致させた。</x:v>
      </x:c>
      <x:c r="I95" s="211" t="str">
        <x:v>実利用でSTEP 4への橋渡しとして負荷が適切か確認する。</x:v>
      </x:c>
      <x:c r="J95" s="211" t="str">
        <x:v>学習者が一文化か二文化かを迷わず、課題文・ヒント・解答例が一致する</x:v>
      </x:c>
      <x:c r="K95" s="211" t="str">
        <x:v>web/scripts/practice-bank.ts / web/src/lib/features/learning/learning-design.ts / web/src/lib/data/curriculum.json</x:v>
      </x:c>
      <x:c r="L95" s="213" t="n">
        <x:v>46271</x:v>
      </x:c>
    </x:row>
    <x:row r="96" ht="140" customHeight="1">
      <x:c r="A96" s="211" t="str">
        <x:v>CUR-011</x:v>
      </x:c>
      <x:c r="B96" s="211" t="str">
        <x:v>☑</x:v>
      </x:c>
      <x:c r="C96" s="211" t="str">
        <x:v>カリキュラム</x:v>
      </x:c>
      <x:c r="D96" s="211" t="str">
        <x:v>課題文・日本語</x:v>
      </x:c>
      <x:c r="E96" s="211" t="str">
        <x:v>全段階の課題文・ヒント・解答例を平易な日本語へ統一する</x:v>
      </x:c>
      <x:c r="F96" s="211" t="str">
        <x:v>完了</x:v>
      </x:c>
      <x:c r="G96" s="211" t="str">
        <x:v>P0</x:v>
      </x:c>
      <x:c r="H96" s="211" t="str">
        <x:v>STEP 2の情報選択10問を再調整。問題の条件は維持しながら、指示を原則1文・最大2文に短縮した。「中心となる」を繰り返す表現を削除し、見出しを意見・目的・方針・話題へ簡潔化。解説も選ぶ材料と除く材料だけを端的に示す表現へ統一した。</x:v>
      </x:c>
      <x:c r="I96" s="211" t="str">
        <x:v>公開画面でSTEP 2の10セットを確認し、短い指示だけで使う材料と除く材料が迷わず分かるか評価する。</x:v>
      </x:c>
      <x:c r="J96" s="211" t="str">
        <x:v>課題文だけで入力形式を判断でき、ヒント・解答例・採点条件が矛盾しない</x:v>
      </x:c>
      <x:c r="K96" s="211" t="str">
        <x:v>web/src/lib/features/learning/curated-question-sets.ts / problem-generator.test.ts / docs/architecture.md</x:v>
      </x:c>
      <x:c r="L96" s="213" t="n">
        <x:v>46277</x:v>
      </x:c>
    </x:row>
  </x:sheetData>
  <x:mergeCells>
    <x:mergeCell ref="A1:L1"/>
    <x:mergeCell ref="A2:L2"/>
  </x:mergeCells>
  <x:conditionalFormatting sqref="F5:F71">
    <x:cfRule type="containsText" dxfId="0" priority="1" operator="containsText" text="完了"/>
    <x:cfRule type="containsText" dxfId="1" priority="2" operator="containsText" text="進行中"/>
    <x:cfRule type="containsText" dxfId="2" priority="3" operator="containsText" text="要確認"/>
    <x:cfRule type="containsText" dxfId="3" priority="4" operator="containsText" text="未着手"/>
  </x:conditionalFormatting>
  <x:conditionalFormatting sqref="G5:G71">
    <x:cfRule type="containsText" dxfId="4" priority="5" operator="containsText" text="P0"/>
  </x:conditionalFormatting>
  <x:dataValidations count="4">
    <x:dataValidation type="list" sqref="F5:F204">
      <x:formula1>"未着手,進行中,要確認,保留,完了"</x:formula1>
    </x:dataValidation>
    <x:dataValidation type="list" sqref="G5:G204">
      <x:formula1>"P0,P1,P2,P3"</x:formula1>
    </x:dataValidation>
    <x:dataValidation type="list" sqref="F85:F89">
      <x:formula1>"未着手,進行中,要確認,保留,完了"</x:formula1>
    </x:dataValidation>
    <x:dataValidation type="list" sqref="G85:G89">
      <x:formula1>"P0,P1,P2"</x:formula1>
    </x:dataValidation>
  </x:dataValidations>
  <x:pageMargins left="0.7" right="0.7" top="0.75" bottom="0.75" header="0.3" footer="0.3"/>
  <x:tableParts count="1">
    <x:tablePart xmlns:r="http://schemas.openxmlformats.org/officeDocument/2006/relationships" r:id="Rcca89c8d1d7248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50" hidden="0" customWidth="1"/>
    <x:col min="4" max="4" width="32" hidden="0" customWidth="1"/>
    <x:col min="5" max="5" width="15" hidden="0" customWidth="1"/>
    <x:col min="6" max="6" width="46" hidden="0" customWidth="1"/>
  </x:cols>
  <x:sheetData>
    <x:row r="1" ht="34" customHeight="1">
      <x:c r="A1" s="203" t="str">
        <x:v>更新履歴</x:v>
      </x:c>
      <x:c r="B1" s="203"/>
      <x:c r="C1" s="203"/>
      <x:c r="D1" s="203"/>
      <x:c r="E1" s="203"/>
      <x:c r="F1" s="203"/>
    </x:row>
    <x:row r="3">
      <x:c r="A3" s="205" t="str">
        <x:v>更新日</x:v>
      </x:c>
      <x:c r="B3" s="205" t="str">
        <x:v>カテゴリ</x:v>
      </x:c>
      <x:c r="C3" s="205" t="str">
        <x:v>更新内容</x:v>
      </x:c>
      <x:c r="D3" s="205" t="str">
        <x:v>関連タスクID</x:v>
      </x:c>
      <x:c r="E3" s="205" t="str">
        <x:v>Gitコミット</x:v>
      </x:c>
      <x:c r="F3" s="205" t="str">
        <x:v>更新者・備考</x:v>
      </x:c>
    </x:row>
    <x:row r="4" ht="48" customHeight="1">
      <x:c r="A4" s="209" t="n">
        <x:v>46255</x:v>
      </x:c>
      <x:c r="B4" s="210" t="str">
        <x:v>設計</x:v>
      </x:c>
      <x:c r="C4" s="210" t="str">
        <x:v>Supabase + Cloudflare、SvelteKit、Stripe、Claude等の採用構成と実装順を整理</x:v>
      </x:c>
      <x:c r="D4" s="210" t="str">
        <x:v>全体</x:v>
      </x:c>
      <x:c r="E4" s="210"/>
      <x:c r="F4" s="210" t="str">
        <x:v>設計正本をarchitecture.mdへ一元化</x:v>
      </x:c>
    </x:row>
    <x:row r="5" ht="48" customHeight="1">
      <x:c r="A5" s="208" t="n">
        <x:v>46256</x:v>
      </x:c>
      <x:c r="B5" s="207" t="str">
        <x:v>基盤・DB</x:v>
      </x:c>
      <x:c r="C5" s="207" t="str">
        <x:v>SvelteKit雛形、共通型、モック画面、初期DBスキーマ、CIを作成</x:v>
      </x:c>
      <x:c r="D5" s="207" t="str">
        <x:v>ENV-006 / APP-001〜003 / DB-001</x:v>
      </x:c>
      <x:c r="E5" s="207" t="str">
        <x:v>90aeb00</x:v>
      </x:c>
      <x:c r="F5" s="207" t="str">
        <x:v>Initial application scaffold</x:v>
      </x:c>
    </x:row>
    <x:row r="6" ht="48" customHeight="1">
      <x:c r="A6" s="209" t="n">
        <x:v>46258</x:v>
      </x:c>
      <x:c r="B6" s="210" t="str">
        <x:v>基盤・開発環境</x:v>
      </x:c>
      <x:c r="C6" s="210" t="str">
        <x:v>GitHub HTTPS連携、asdf Node 24.19.0、Corepack pnpm 11.19.0を確認</x:v>
      </x:c>
      <x:c r="D6" s="210" t="str">
        <x:v>ENV-001 / ENV-004 / ENV-005</x:v>
      </x:c>
      <x:c r="E6" s="210"/>
      <x:c r="F6" s="210" t="str">
        <x:v>.tool-versionsは次回コミット対象</x:v>
      </x:c>
    </x:row>
    <x:row r="7" ht="48" customHeight="1">
      <x:c r="A7" s="208" t="n">
        <x:v>46258</x:v>
      </x:c>
      <x:c r="B7" s="207" t="str">
        <x:v>進捗管理</x:v>
      </x:c>
      <x:c r="C7" s="207" t="str">
        <x:v>カテゴリ別の実装タスク、集計、更新履歴を一元化</x:v>
      </x:c>
      <x:c r="D7" s="207" t="str">
        <x:v>全体</x:v>
      </x:c>
      <x:c r="E7" s="207"/>
      <x:c r="F7" s="207" t="str">
        <x:v>このExcelを進捗の正本として運用開始</x:v>
      </x:c>
    </x:row>
    <x:row r="8" ht="48" customHeight="1">
      <x:c r="A8" s="209" t="n">
        <x:v>46258</x:v>
      </x:c>
      <x:c r="B8" s="210" t="str">
        <x:v>要件・進捗管理</x:v>
      </x:c>
      <x:c r="C8" s="210" t="str">
        <x:v>学習者向け日次活動履歴をアプリ実装計画へ追加</x:v>
      </x:c>
      <x:c r="D8" s="210" t="str">
        <x:v>APP-010 / APP-011 / DB-007 / QA-007</x:v>
      </x:c>
      <x:c r="E8" s="210"/>
      <x:c r="F8" s="210" t="str">
        <x:v>要件・DB・画面・テストへ分割。アプリコードの実装は未着手</x:v>
      </x:c>
    </x:row>
    <x:row r="9" ht="48" customHeight="1">
      <x:c r="A9" s="208" t="n">
        <x:v>46258</x:v>
      </x:c>
      <x:c r="B9" s="207" t="str">
        <x:v>ローカルMVP</x:v>
      </x:c>
      <x:c r="C9" s="207" t="str">
        <x:v>カリキュラム生成、13課題、下書き、モック添削、履歴、進捗、日次活動、PWAを実装・検証</x:v>
      </x:c>
      <x:c r="D9" s="207" t="str">
        <x:v>ENV-006〜007 / APP-004〜011 / CUR-002〜006 / QA-001・007</x:v>
      </x:c>
      <x:c r="E9" s="207"/>
      <x:c r="F9" s="207" t="str">
        <x:v>pnpm verify成功。PC・スマホ幅で一連の操作を確認。Supabase・Claude・Stripeは未接続</x:v>
      </x:c>
    </x:row>
    <x:row r="10" ht="48" customHeight="1">
      <x:c r="A10" s="209" t="n">
        <x:v>46258</x:v>
      </x:c>
      <x:c r="B10" s="210" t="str">
        <x:v>認証・DB</x:v>
      </x:c>
      <x:c r="C10" s="210" t="str">
        <x:v>Supabaseクライアント、メール認証画面、本人限定RLS、クラウド保存切替、接続手順を実装</x:v>
      </x:c>
      <x:c r="D10" s="210" t="str">
        <x:v>AUTH-001〜004・007 / DB-002〜005</x:v>
      </x:c>
      <x:c r="E10" s="210"/>
      <x:c r="F10" s="210" t="str">
        <x:v>pnpm verify成功。実Supabaseへの接続・RLS実測は設定後に確認</x:v>
      </x:c>
    </x:row>
    <x:row r="11" ht="72" customHeight="1">
      <x:c r="A11" s="208" t="n">
        <x:v>46259</x:v>
      </x:c>
      <x:c r="B11" s="207" t="str">
        <x:v>品質改善・進捗管理</x:v>
      </x:c>
      <x:c r="C11" s="207" t="str">
        <x:v>全体工程を再レビューし、DB定義一本化、Data API権限、RLSテスト、原子的提出、認証復旧、保存競合対策を修正。開発者の日次活動管理を廃止</x:v>
      </x:c>
      <x:c r="D11" s="207" t="str">
        <x:v>ENV-007〜008 / AUTH-003〜004・007 / DB-001〜005・007 / APP-011 / QA-001・007</x:v>
      </x:c>
      <x:c r="E11" s="207"/>
      <x:c r="F11" s="207" t="str">
        <x:v>pnpm verify成功（4ファイル・10テスト）。実Supabase適用・実メール・2ユーザーRLS・E2Eは次工程</x:v>
      </x:c>
    </x:row>
    <x:row r="12" ht="72" customHeight="1">
      <x:c r="A12" s="212" t="n">
        <x:v>46259</x:v>
      </x:c>
      <x:c r="B12" s="211" t="str">
        <x:v>反復学習・進級</x:v>
      </x:c>
      <x:c r="C12" s="211" t="str">
        <x:v>各段階10問・合計130問、履歴による重複回避、連続合格進級、学習者の必要回数設定、旧データ移行、DB原子更新を実装</x:v>
      </x:c>
      <x:c r="D12" s="211" t="str">
        <x:v>CUR-007 / APP-012 / DB-008 / QA-008ほか</x:v>
      </x:c>
      <x:c r="E12" s="211"/>
      <x:c r="F12" s="211" t="str">
        <x:v>PUBLIC環境変数の名称不一致も修正。pnpm verifyとローカルブラウザ確認成功。実Supabase適用・RLS実測は次工程</x:v>
      </x:c>
    </x:row>
    <x:row r="13" ht="72" customHeight="1">
      <x:c r="A13" s="212" t="n">
        <x:v>46259</x:v>
      </x:c>
      <x:c r="B13" s="211" t="str">
        <x:v>動的出題・段階往復</x:v>
      </x:c>
      <x:c r="C13" s="211" t="str">
        <x:v>固定問題数を廃止し、4軸の特徴ベクトルと問題指紋による類似回避、時間幅による継続生成、表示時履歴、到達済み段階への再移動、旧データ移行を実装</x:v>
      </x:c>
      <x:c r="D13" s="211" t="str">
        <x:v>APP-013〜014 / DB-009 / QA-009ほか</x:v>
      </x:c>
      <x:c r="E13" s="211"/>
      <x:c r="F13" s="211" t="str">
        <x:v>pnpm verify成功（5ファイル・24テスト）。ローカルブラウザ確認成功。実Supabase適用・RLS実測は次工程</x:v>
      </x:c>
    </x:row>
    <x:row r="14" ht="66" customHeight="1">
      <x:c r="A14" s="213" t="n">
        <x:v>46260</x:v>
      </x:c>
      <x:c r="B14" s="211" t="str">
        <x:v>品質レビュー・Supabase準備</x:v>
      </x:c>
      <x:c r="C14" s="211" t="str">
        <x:v>動的出題・段階往復を再レビューし、複数タブの問題発行競合、同一問題の別送信IDによる二重進級、提出後の再送導線を修正。Supabase Data APIで初期テーブル未適用を確認</x:v>
      </x:c>
      <x:c r="D14" s="211" t="str">
        <x:v>APP-012 / DB-001・003〜005・008〜009 / QA-001・008〜009</x:v>
      </x:c>
      <x:c r="E14" s="211"/>
      <x:c r="F14" s="211" t="str">
        <x:v>pnpm verify成功（5ファイル・26テスト）、ローカル画面確認成功。Supabaseログイン後に初期SQL適用・実DB/RLS検証を継続</x:v>
      </x:c>
    </x:row>
    <x:row r="15" ht="56" customHeight="1">
      <x:c r="A15" s="92" t="n">
        <x:v>46260</x:v>
      </x:c>
      <x:c r="B15" t="str">
        <x:v>適応出題・自然文生成</x:v>
      </x:c>
      <x:c r="C15" s="211" t="str">
        <x:v>13段階を再確認し、固定テンプレート直積を廃止。技能別学習履歴から出題条件を選び、問題バンクとClaude生成を併用する最終設計を確定</x:v>
      </x:c>
      <x:c r="D15" s="211" t="str">
        <x:v>CUR-008 / APP-013・015 / DB-001・009〜010 / AI-008 / QA-009〜010</x:v>
      </x:c>
      <x:c r="E15" s="211"/>
      <x:c r="F15" s="211" t="str">
        <x:v>architecture.mdを更新。旧4軸初期SQLは未実行のまま改訂後に適用する</x:v>
      </x:c>
    </x:row>
    <x:row r="16" ht="58" customHeight="1">
      <x:c r="A16" s="228" t="n">
        <x:v>46260</x:v>
      </x:c>
      <x:c r="B16" s="221" t="str">
        <x:v>適応出題・コスト制御実装</x:v>
      </x:c>
      <x:c r="C16" s="222" t="str">
        <x:v>段階別特徴署名、技能習熟度、50/30/20適応選択、共有問題バンク優先、AI予算判定、利用量保存、原子的DB更新とRLSを実装。初回合格の苦手誤判定と問題ID復元を修正</x:v>
      </x:c>
      <x:c r="D16" s="221" t="str">
        <x:v>CUR-008 / APP-013・015 / DB-009〜010 / AI-008〜009 / QA-009〜010</x:v>
      </x:c>
      <x:c r="E16" s="221"/>
      <x:c r="F16" s="223" t="str">
        <x:v>pnpm verify成功（7ファイル・49テスト、型0警告、製品ビルド成功）。SQLの実Supabase適用は次工程</x:v>
      </x:c>
    </x:row>
    <x:row r="17" ht="62" customHeight="1">
      <x:c r="A17" s="229" t="n">
        <x:v>46260</x:v>
      </x:c>
      <x:c r="B17" s="225" t="str">
        <x:v>AI上限の暫定化・最終確認ゲート</x:v>
      </x:c>
      <x:c r="C17" s="226" t="str">
        <x:v>問題生成・添削の現行トークン値を暫定ガードと明記。コードとDBへprovisional状態を追加し、最終テストで所有者へ本番AI上限を確認する完了条件を設定</x:v>
      </x:c>
      <x:c r="D17" s="225" t="str">
        <x:v>AI-009 / QA-010</x:v>
      </x:c>
      <x:c r="E17" s="225"/>
      <x:c r="F17" s="226" t="str">
        <x:v>pnpm verify成功（7ファイル・50テスト、型0警告、製品ビルド成功）。所有者承認前はAI上限の最終テストを完了扱いにしない</x:v>
      </x:c>
    </x:row>
    <x:row r="18" ht="76" customHeight="1">
      <x:c r="A18" s="213" t="n">
        <x:v>46260</x:v>
      </x:c>
      <x:c r="B18" s="211" t="str">
        <x:v>Supabase CLI・migration・RLS実測</x:v>
      </x:c>
      <x:c r="C18" s="211" t="str">
        <x:v>Supabase CLI 2.115.0をローカル依存へ固定し、開発DBへ初期・セキュリティ強化migrationを適用。17テーブル、全RLS、3 RPCと2ユーザー分離・進級・段階復帰・冪等性を検証</x:v>
      </x:c>
      <x:c r="D18" s="211" t="str">
        <x:v>AUTH-007 / DB-001〜004・008〜010 / QA-007〜010</x:v>
      </x:c>
      <x:c r="E18" s="211"/>
      <x:c r="F18" s="211" t="str">
        <x:v>pnpm verify成功（7ファイル・50テスト、型0警告、製品ビルド成功）。RLSデータはrollback済み。security advisorは意図した認証済みRPC 4件、DB lintは既存remote関数の未使用変数2件だけ</x:v>
      </x:c>
    </x:row>
    <x:row r="19" ht="76" customHeight="1">
      <x:c r="A19" s="213" t="n">
        <x:v>46261</x:v>
      </x:c>
      <x:c r="B19" s="211" t="str">
        <x:v>Supabase運用マニュアル</x:v>
      </x:c>
      <x:c r="C19" s="211" t="str">
        <x:v>Dashboardでのテーブル・ユーザー・RLS確認、読み取りSQL、CLI migration、RLSテスト、セキュリティ診断、実ユーザー確認、秘密情報、トラブル対応を個人用Markdownへ一元化</x:v>
      </x:c>
      <x:c r="D19" s="211" t="str">
        <x:v>DB-003〜005 / QA-003・008〜010</x:v>
      </x:c>
      <x:c r="E19" s="211"/>
      <x:c r="F19" s="211" t="str">
        <x:v>ルートのSupabase操作マニュアル.mdへ保存し、個人用資料として.gitignore対象に設定。設計・migration・接続手順は引き続き各正本で管理</x:v>
      </x:c>
    </x:row>
    <x:row r="20" ht="92" customHeight="1">
      <x:c r="A20" s="230" t="n">
        <x:v>46274</x:v>
      </x:c>
      <x:c r="B20" s="224" t="str">
        <x:v>AI問題生成</x:v>
      </x:c>
      <x:c r="C20" s="224" t="str">
        <x:v>問題生成の標準モデルをSonnet 5へ変更し、添削モデル設定と分離。段階設計に沿う生成プロンプト、素材の扱い・追加条件・複数解答例・技能別合格条件・隠れた採点条件なしを持つ構造化Schema、保存前の整合性検証、共通生成関数を追加した。</x:v>
      </x:c>
      <x:c r="D20" s="224" t="str">
        <x:v>AI-004・006・008・009 / QA-009</x:v>
      </x:c>
      <x:c r="E20" s="224"/>
      <x:c r="F20" s="224" t="str">
        <x:v>149テスト・型検査成功。問題生成Edge Function、予算予約、再生成、問題バンク登録、実API評価は次工程。</x:v>
      </x:c>
    </x:row>
    <x:row r="21" ht="78" customHeight="1">
      <x:c r="A21" s="230" t="n">
        <x:v>46275</x:v>
      </x:c>
      <x:c r="B21" s="224" t="str">
        <x:v>論点拡張・自由テーマ設定</x:v>
      </x:c>
      <x:c r="C21" s="224" t="str">
        <x:v>STEP 4〜14を大学入試小論文向け78論点へ拡張。設定画面に初期値ランダムと、1〜3件・各20文字以内の自由設定を追加した。自由テーマはSTEP 4以降の次問から反映し、テーマ固有IDで固定論点や別テーマとの混在を防止。Claude問題生成へ同じテーマを渡し、DBにも制約付きで保存する。</x:v>
      </x:c>
      <x:c r="D21" s="224" t="str">
        <x:v>APP-004・013 / CUR-005〜007 / DB-005・010 / AI-008 / OPS-002 / QA-001・009〜010</x:v>
      </x:c>
      <x:c r="E21" s="224"/>
      <x:c r="F21" s="224" t="str">
        <x:v>18ファイル166テスト、型検査0エラー・0警告、製品ビルド成功。migration 202609100001をオンライン適用し、problem-generation-v3とCloudflare Version 2d3748d9-dce0-4e83-bb08-53c13e10907cを公開。認証済み自由テーマE2Eは次回確認。</x:v>
      </x:c>
    </x:row>
    <x:row r="22" ht="84" customHeight="1">
      <x:c r="A22" s="230" t="n">
        <x:v>46262</x:v>
      </x:c>
      <x:c r="B22" s="224" t="str">
        <x:v>課題文・段階別添削・結果表示改善</x:v>
      </x:c>
      <x:c r="C22" s="224" t="str">
        <x:v>課題本文と評価上の注意を分離し、文字数による一律判定を廃止。13段階のClaude添削指示と、合格/要修正・残り合格数の提出後表示を実装</x:v>
      </x:c>
      <x:c r="D22" s="224" t="str">
        <x:v>APP-003・007 / CUR-007 / AI-002・005 / QA-010</x:v>
      </x:c>
      <x:c r="E22" s="224"/>
      <x:c r="F22" s="224" t="str">
        <x:v>pnpm verify成功（8ファイル・58テスト、型0警告、製品ビルド成功）。発行済み旧問題も表示時に修正。Claude API接続と実品質評価は次工程</x:v>
      </x:c>
    </x:row>
    <x:row r="23" ht="66" customHeight="1">
      <x:c r="A23" s="213" t="n">
        <x:v>46262</x:v>
      </x:c>
      <x:c r="B23" s="211" t="str">
        <x:v>提出後通知の文字サイズ調整</x:v>
      </x:c>
      <x:c r="C23" s="211" t="str">
        <x:v>課題画面の合格/要修正・残り合格数通知だけを14pxに調整し、他の通知表示には影響しない専用クラスを追加</x:v>
      </x:c>
      <x:c r="D23" s="211" t="str">
        <x:v>APP-007</x:v>
      </x:c>
      <x:c r="E23" s="211"/>
      <x:c r="F23" s="211" t="str">
        <x:v>pnpm verify成功（8ファイル・58テスト、型0警告、製品ビルド成功）</x:v>
      </x:c>
    </x:row>
    <x:row r="24" ht="72" customHeight="1">
      <x:c r="A24" s="213" t="n">
        <x:v>46262</x:v>
      </x:c>
      <x:c r="B24" s="211" t="str">
        <x:v>Supabaseテストデータ初期化</x:v>
      </x:c>
      <x:c r="C24" s="211" t="str">
        <x:v>開発DBのテスト結果を対象ユーザーIDで限定して削除。提出9件、添削9件、技能判定18件、問題履歴7件、技能統計2件を0件にし、学習進捗と3種類の設定を初期値へ復元</x:v>
      </x:c>
      <x:c r="D24" s="211" t="str">
        <x:v>DB-004 / QA-007〜009</x:v>
      </x:c>
      <x:c r="E24" s="211"/>
      <x:c r="F24" s="211" t="str">
        <x:v>削除後の件数をSQLで再確認。ログイン用アカウント1件とプロフィール1件は保持し、同じメールアドレスで再テスト可能</x:v>
      </x:c>
    </x:row>
    <x:row r="25" ht="78" customHeight="1">
      <x:c r="A25" s="213" t="n">
        <x:v>46262</x:v>
      </x:c>
      <x:c r="B25" s="211" t="str">
        <x:v>進級テスト累積合格・専用画面</x:v>
      </x:c>
      <x:c r="C25" s="211" t="str">
        <x:v>課題タイトル下の定型説明とフッター文言を削除。通常トレーニング10問・進級テスト3問の合格数表示、専用画面、不合格時に合格数を保持して別問題へ進む非連続累積合格方式を実装</x:v>
      </x:c>
      <x:c r="D25" s="211" t="str">
        <x:v>APP-003・007〜008・012 / CUR-008 / DB-008 / QA-008〜010</x:v>
      </x:c>
      <x:c r="E25" s="211"/>
      <x:c r="F25" s="211" t="str">
        <x:v>pnpm verify成功（8ファイル・59テスト、型0警告、製品ビルド成功）。開発DBへmigration適用、2ユーザーRLS/RPC回帰テスト成功</x:v>
      </x:c>
    </x:row>
    <x:row r="26" ht="66" customHeight="1">
      <x:c r="A26" s="213" t="n">
        <x:v>46262</x:v>
      </x:c>
      <x:c r="B26" s="211" t="str">
        <x:v>トレーニング状況表示の簡素化</x:v>
      </x:c>
      <x:c r="C26" s="211" t="str">
        <x:v>トレーニング状況パネルから説明文を削除し、「トレーニング」と「現在合格数/必要合格数」だけを表示</x:v>
      </x:c>
      <x:c r="D26" s="211" t="str">
        <x:v>APP-003・APP-007</x:v>
      </x:c>
      <x:c r="E26" s="211"/>
      <x:c r="F26" s="211" t="str">
        <x:v>pnpm verify成功（8ファイル・59テスト、型0警告、製品ビルド成功）</x:v>
      </x:c>
    </x:row>
    <x:row r="27" ht="66" customHeight="1">
      <x:c r="A27" s="213" t="n">
        <x:v>46262</x:v>
      </x:c>
      <x:c r="B27" s="211" t="str">
        <x:v>トレーニング状況表示の配置調整</x:v>
      </x:c>
      <x:c r="C27" s="211" t="str">
        <x:v>トレーニングと現在合格数を一つの見出しにまとめ、実数をその下へ左寄せで表示。状況パネルを内容に合う幅と余白へ調整</x:v>
      </x:c>
      <x:c r="D27" s="211" t="str">
        <x:v>APP-003・APP-007</x:v>
      </x:c>
      <x:c r="E27" s="211"/>
      <x:c r="F27" s="211" t="str">
        <x:v>pnpm check・test成功（8ファイル・59テスト、型0警告）</x:v>
      </x:c>
    </x:row>
    <x:row r="28" ht="78" customHeight="1">
      <x:c r="A28" s="213" t="n">
        <x:v>46262</x:v>
      </x:c>
      <x:c r="B28" s="211" t="str">
        <x:v>段階別学習指示の表示復帰</x:v>
      </x:c>
      <x:c r="C28" s="211" t="str">
        <x:v>通常トレーニングの状況パネルを全幅へ戻し、段階ごとの「生徒が行うこと」を左側に表示。右端に現在合格数と必要合格数を表示し、「トレーニング」の文言を削除</x:v>
      </x:c>
      <x:c r="D28" s="211" t="str">
        <x:v>APP-003・APP-007</x:v>
      </x:c>
      <x:c r="E28" s="211"/>
      <x:c r="F28" s="211" t="str">
        <x:v>pnpm check・test成功（8ファイル・59テスト、型0警告）</x:v>
      </x:c>
    </x:row>
    <x:row r="29" ht="84" customHeight="1">
      <x:c r="A29" s="213" t="n">
        <x:v>46262</x:v>
      </x:c>
      <x:c r="B29" s="211" t="str">
        <x:v>合格結果画面・固定解答例の改善</x:v>
      </x:c>
      <x:c r="C29" s="211" t="str">
        <x:v>進級テスト文言を変更。通常・テスト合格時は入力カードを非表示にし、結果内へ課題・提出解答・詳しいコメント・合格根拠・次問ボタンを集約。段階1〜6だけ固定解答例を表示</x:v>
      </x:c>
      <x:c r="D29" s="211" t="str">
        <x:v>APP-003・007 / CUR-008 / AI-002・005 / QA-010</x:v>
      </x:c>
      <x:c r="E29" s="211"/>
      <x:c r="F29" s="211" t="str">
        <x:v>pnpm verify成功（8ファイル・60テスト、型0警告、製品ビルド成功）。解答例は段階7以降と進級テストで非表示</x:v>
      </x:c>
    </x:row>
    <x:row r="30" ht="66" customHeight="1">
      <x:c r="A30" s="213" t="n">
        <x:v>46262</x:v>
      </x:c>
      <x:c r="B30" s="211" t="str">
        <x:v>進級テスト案内文の改善</x:v>
      </x:c>
      <x:c r="C30" s="211" t="str">
        <x:v>通常トレーニング合格後の残り合格数を、「あと◯問の合格で進級テストにチャレンジできます。」と表示するよう変更</x:v>
      </x:c>
      <x:c r="D30" s="211" t="str">
        <x:v>APP-007</x:v>
      </x:c>
      <x:c r="E30" s="211"/>
      <x:c r="F30" s="211" t="str">
        <x:v>pnpm check・test成功（8ファイル・60テスト、型0警告）</x:v>
      </x:c>
    </x:row>
    <x:row r="31" ht="78" customHeight="1">
      <x:c r="A31" s="213" t="n">
        <x:v>46262</x:v>
      </x:c>
      <x:c r="B31" s="211" t="str">
        <x:v>ヒント直下の解答例・解説</x:v>
      </x:c>
      <x:c r="C31" s="211" t="str">
        <x:v>段階1〜6で、課題カードのヒント直下に固定解答例と「ポイント」を表示。例文中の語句・構成がヒントを満たす理由を分かりやすく説明</x:v>
      </x:c>
      <x:c r="D31" s="211" t="str">
        <x:v>APP-003 / CUR-008 / QA-010</x:v>
      </x:c>
      <x:c r="E31" s="211"/>
      <x:c r="F31" s="211" t="str">
        <x:v>pnpm verify成功（8ファイル・60テスト、型0警告、製品ビルド成功）。段階7以降と進級テストでは非表示</x:v>
      </x:c>
    </x:row>
    <x:row r="32" ht="84" customHeight="1">
      <x:c r="A32" s="213" t="n">
        <x:v>46262</x:v>
      </x:c>
      <x:c r="B32" s="211" t="str">
        <x:v>全段階の学習者向け表現を平易化</x:v>
      </x:c>
      <x:c r="C32" s="211" t="str">
        <x:v>全13段階のヒント・合格の目安・固定解答例の解説・ローカル添削コメントを、具体的に何を書く・移す・置き換えるかが分かる表現へ変更。Claudeにも抽象語だけのコメントを禁止</x:v>
      </x:c>
      <x:c r="D32" s="211" t="str">
        <x:v>APP-003・007 / CUR-008 / AI-002・005 / QA-010</x:v>
      </x:c>
      <x:c r="E32" s="211"/>
      <x:c r="F32" s="211" t="str">
        <x:v>pnpm verify成功（8ファイル・62テスト、型0警告、製品ビルド成功）。旧版の発行済み問題も現在のヒントへ置換する回帰テストを追加</x:v>
      </x:c>
    </x:row>
    <x:row r="33" ht="84" customHeight="1">
      <x:c r="A33" s="213" t="n">
        <x:v>46263</x:v>
      </x:c>
      <x:c r="B33" s="211" t="str">
        <x:v>全段階のヒント文体を統一</x:v>
      </x:c>
      <x:c r="C33" s="211" t="str">
        <x:v>段階2を指定文へ変更し、その文章レベルを基準に全13段階のヒントを原則二文で統一。専門用語には例を添え、ローカル派生問題の追加説明を廃止。旧版発行済み問題も現行ヒントへ置換</x:v>
      </x:c>
      <x:c r="D33" s="211" t="str">
        <x:v>APP-003 / CUR-007〜008 / QA-009〜010</x:v>
      </x:c>
      <x:c r="E33" s="211"/>
      <x:c r="F33" s="211" t="str">
        <x:v>pnpm verify成功（8ファイル・63テスト、型0警告、製品ビルド成功）。段階2の全問題が指定文と完全一致する回帰テストを追加</x:v>
      </x:c>
    </x:row>
    <x:row r="34" ht="66" customHeight="1">
      <x:c r="A34" s="213" t="n">
        <x:v>46263</x:v>
      </x:c>
      <x:c r="B34" s="211" t="str">
        <x:v>解答例の解説見出しを確定</x:v>
      </x:c>
      <x:c r="C34" s="211" t="str">
        <x:v>段階1〜6の固定解答例で、ヒントの説明に使う見出しを「ヒントとのつながり」から「ポイント」へ変更</x:v>
      </x:c>
      <x:c r="D34" s="211" t="str">
        <x:v>APP-003 / CUR-008</x:v>
      </x:c>
      <x:c r="E34" s="211"/>
      <x:c r="F34" s="211" t="str">
        <x:v>画面表示・設計書・進捗管理の表記を一致させる</x:v>
      </x:c>
    </x:row>
    <x:row r="35" ht="78" customHeight="1">
      <x:c r="A35" s="213" t="n">
        <x:v>46263</x:v>
      </x:c>
      <x:c r="B35" s="211" t="str">
        <x:v>提出履歴の学習種別・判定表示</x:v>
      </x:c>
      <x:c r="C35" s="211" t="str">
        <x:v>各履歴のSTEP横に提出時の「トレーニング」または「進級テスト」を表示。通常トレーニングの未合格は「要修正」、進級テストの未合格は「不合格」と表示するよう変更</x:v>
      </x:c>
      <x:c r="D35" s="211" t="str">
        <x:v>APP-008 / QA-010</x:v>
      </x:c>
      <x:c r="E35" s="211"/>
      <x:c r="F35" s="211" t="str">
        <x:v>pnpm verify成功（8ファイル・64テスト、型0警告、製品ビルド成功）。旧retraining履歴はトレーニングとして表示</x:v>
      </x:c>
    </x:row>
    <x:row r="36" ht="78" customHeight="1">
      <x:c r="A36" s="213" t="n">
        <x:v>46263</x:v>
      </x:c>
      <x:c r="B36" s="211" t="str">
        <x:v>履歴・課題トップの表示整理</x:v>
      </x:c>
      <x:c r="C36" s="211" t="str">
        <x:v>履歴の戻るボタンを「課題トップ画面へ」に変更。課題トップは到達済みを「完了」、未到達を「未完了」とし、学習中を薄いオレンジ色で表示。「問題数に上限なし」を削除</x:v>
      </x:c>
      <x:c r="D36" s="211" t="str">
        <x:v>APP-005・008 / QA-010</x:v>
      </x:c>
      <x:c r="E36" s="211"/>
      <x:c r="F36" s="211" t="str">
        <x:v>pnpm verify成功（9ファイル・65テスト、型0警告、製品ビルド成功）。固定表示の回帰テストを追加</x:v>
      </x:c>
    </x:row>
    <x:row r="37">
      <x:c r="A37" s="55" t="n">
        <x:v>46267</x:v>
      </x:c>
      <x:c r="B37" t="str">
        <x:v>カリキュラム・学習機能・DB</x:v>
      </x:c>
      <x:c r="C37" t="str">
        <x:v>全14段階へ再編。段階1を5問1セットの全問正解方式とし、全問解説・不合格後の新セット移動を実装。段階7を段落分析・修正の複合課題へ強化</x:v>
      </x:c>
      <x:c r="D37" t="str">
        <x:v>CUR-007〜009 / APP-012〜016 / DB-008・011 / QA-008〜011</x:v>
      </x:c>
      <x:c r="E37"/>
      <x:c r="F37" t="str">
        <x:v>pnpm verify成功（9ファイル・67テスト、型0警告、製品ビルド成功）。開発DBへ3 migration適用、段階1の5技能保存を含むロールバック式RLS/RPCテスト成功</x:v>
      </x:c>
    </x:row>
    <x:row r="38">
      <x:c r="A38" t="n">
        <x:v>46267</x:v>
      </x:c>
      <x:c r="B38" t="str">
        <x:v>課題文改善</x:v>
      </x:c>
      <x:c r="C38" t="str">
        <x:v>STEP3を二文のまま書く課題であると明記し、二文目の冒頭へ関係を示す言葉を加える指示に統一。ヒントと固定解答例を修正し、発行済み旧問題も表示時に更新</x:v>
      </x:c>
      <x:c r="D38" t="str">
        <x:v>CUR-010 / APP-003 / QA-001</x:v>
      </x:c>
      <x:c r="E38"/>
      <x:c r="F38" t="str">
        <x:v>pnpm verify成功（9ファイル・69テスト、型0警告、製品ビルド成功）</x:v>
      </x:c>
    </x:row>
    <x:row r="39">
      <x:c r="A39" s="55" t="n">
        <x:v>46268</x:v>
      </x:c>
      <x:c r="B39" t="str">
        <x:v>課題文・日本語改善</x:v>
      </x:c>
      <x:c r="C39" t="str">
        <x:v>STEP2を二つの内容が明確に区切られた一文化課題へ修正。STEP3との違いを課題文・ヒント・解答例へ統一し、STEP4〜14も学習者が行う操作と出力形式を判断しやすい日本語へ整理</x:v>
      </x:c>
      <x:c r="D39" t="str">
        <x:v>CUR-011 / APP-003 / QA-001</x:v>
      </x:c>
      <x:c r="E39"/>
      <x:c r="F39" t="str">
        <x:v>pnpm verify成功（9ファイル・71テスト、型0警告、Cloudflare製品ビルド成功）。現在の問題・添削は実行時に外部生成AIを呼ばない</x:v>
      </x:c>
    </x:row>
    <x:row r="40">
      <x:c r="A40" s="55" t="n">
        <x:v>46268</x:v>
      </x:c>
      <x:c r="B40" t="str">
        <x:v>Cloudflare検証環境準備</x:v>
      </x:c>
      <x:c r="C40" t="str">
        <x:v>SvelteKit公式CloudflareアダプターとWranglerをweb内へ固定し、Cloudflare Workersへessay-training-stagingを公開</x:v>
      </x:c>
      <x:c r="D40" t="str">
        <x:v>OPS-001 / OPS-002 / QA-001</x:v>
      </x:c>
      <x:c r="E40"/>
      <x:c r="F40" t="str">
        <x:v>公開URLの/、/tasks、/manifest.webmanifest、/service-worker.jsがHTTP 200。次はSupabase Authの許可URL登録と認証済みE2E</x:v>
      </x:c>
    </x:row>
    <x:row r="41">
      <x:c r="A41" s="55" t="n">
        <x:v>46268</x:v>
      </x:c>
      <x:c r="B41" t="str">
        <x:v>Cloudflareサブドメイン変更</x:v>
      </x:c>
      <x:c r="C41" t="str">
        <x:v>アカウント共通のworkers.devサブドメインを自動生成名pot-3823からlanguage-trainingへ変更し、検証URLと手順書を更新</x:v>
      </x:c>
      <x:c r="D41" t="str">
        <x:v>OPS-002</x:v>
      </x:c>
      <x:c r="E41"/>
      <x:c r="F41" t="str">
        <x:v>新URLの/と/tasksがHTTP 200。旧pot-3823 URLは名前解決されず無効。次はSupabase Authへ新URLを登録</x:v>
      </x:c>
    </x:row>
    <x:row r="42">
      <x:c r="A42" t="n">
        <x:v>46268</x:v>
      </x:c>
      <x:c r="B42" t="str">
        <x:v>初回認証画面・Cloudflare公開</x:v>
      </x:c>
      <x:c r="C42" t="str">
        <x:v>独立した/loginへログイン・新規登録の併用画面を追加。未ログイン時の自動案内、ログイン後のホーム移動、パスワード再設定導線を実装し、Supabase接続情報をWorker secretへ登録して再公開</x:v>
      </x:c>
      <x:c r="D42" t="str">
        <x:v>AUTH-004・005 / OPS-002・003 / ENV-007 / QA-001</x:v>
      </x:c>
      <x:c r="E42"/>
      <x:c r="F42" t="str">
        <x:v>pnpm verify成功（10ファイル・75テスト、型0警告、Cloudflare製品ビルド成功）。公開URLの/loginと/がHTTP 200。次はSupabase Authの許可URL登録と実メールE2E</x:v>
      </x:c>
    </x:row>
    <x:row r="43">
      <x:c r="A43" t="n">
        <x:v>46268</x:v>
      </x:c>
      <x:c r="B43" t="str">
        <x:v>確認メール送信後の画面整理</x:v>
      </x:c>
      <x:c r="C43" t="str">
        <x:v>新規登録成功後は登録フォームと「アカウントを登録する」ボタンを隠し、確認メールの送信先、登録完了までの手順、ログイン画面へ戻る操作だけを示す専用表示へ切り替え</x:v>
      </x:c>
      <x:c r="D43" t="str">
        <x:v>AUTH-004 / OPS-002 / ENV-007 / QA-001</x:v>
      </x:c>
      <x:c r="E43"/>
      <x:c r="F43" t="str">
        <x:v>pnpm verify成功（10ファイル・76テスト、型0警告、Cloudflare製品ビルド成功）。Cloudflareへ再公開し/loginがHTTP 200</x:v>
      </x:c>
    </x:row>
    <x:row r="44">
      <x:c r="A44" t="n">
        <x:v>46268</x:v>
      </x:c>
      <x:c r="B44" t="str">
        <x:v>提出後の結果位置へ自動スクロール</x:v>
      </x:c>
      <x:c r="C44" t="str">
        <x:v>提出保存と結果表示の完了後に、合格・要修正・進級テスト不合格の結果カード先頭を画面上端へ自動スクロール。視差効果を減らす端末設定では即時移動する</x:v>
      </x:c>
      <x:c r="D44" t="str">
        <x:v>APP-007 / OPS-002 / ENV-007 / QA-001</x:v>
      </x:c>
      <x:c r="E44"/>
      <x:c r="F44" t="str">
        <x:v>pnpm verify成功（10ファイル・77テスト、型0警告、Cloudflare製品ビルド成功）。Cloudflare検証環境へ再公開</x:v>
      </x:c>
    </x:row>
    <x:row r="45">
      <x:c r="A45" t="n">
        <x:v>46268</x:v>
      </x:c>
      <x:c r="B45" t="str">
        <x:v>結果専用画面と上端移動の修正</x:v>
      </x:c>
      <x:c r="C45" t="str">
        <x:v>短い不合格結果ではスクロール可能距離が足りず上端へ揃わない原因を修正。提出後は解答フォームを隠す結果専用画面へ切り替え、結果領域の高さを確保して描画完了後の実座標へ即時移動する</x:v>
      </x:c>
      <x:c r="D45" t="str">
        <x:v>APP-007 / OPS-002 / ENV-007 / QA-001</x:v>
      </x:c>
      <x:c r="E45"/>
      <x:c r="F45" t="str">
        <x:v>pnpm verify成功（10ファイル・77テスト、型0警告、Cloudflare製品ビルド成功）。Cloudflare検証環境へ修正版を再公開</x:v>
      </x:c>
    </x:row>
    <x:row r="46">
      <x:c r="A46" s="55" t="n">
        <x:v>46268</x:v>
      </x:c>
      <x:c r="B46" t="str">
        <x:v>STEP 1提出履歴の全問解説表示</x:v>
      </x:c>
      <x:c r="C46" t="str">
        <x:v>履歴画面が先頭の解説だけを表示していた問題を修正。STEP 1の5問セットは、問題1〜5の正解・不正解と説明を個別カードで省略せず表示する。</x:v>
      </x:c>
      <x:c r="D46" t="str">
        <x:v>APP-008 / QA-001</x:v>
      </x:c>
      <x:c r="E46"/>
      <x:c r="F46" t="str">
        <x:v>77テスト成功、Svelte型検査0エラー・0警告。Cloudflare製品ビルド成功後に検証環境へ反映</x:v>
      </x:c>
    </x:row>
    <x:row r="47">
      <x:c r="A47" s="55" t="n">
        <x:v>46268</x:v>
      </x:c>
      <x:c r="B47" t="str">
        <x:v>STEP 1履歴の問題・解答・解説対応表示</x:v>
      </x:c>
      <x:c r="C47" t="str">
        <x:v>履歴内で5問それぞれの指示・問題文・学習者の解答・正誤・解説を一まとまりに表示。新規提出時は問題文も添削結果へ保存し、問題バンク変更後も過去の問題を維持する。既存履歴は問題IDから復元する。</x:v>
      </x:c>
      <x:c r="D47" t="str">
        <x:v>APP-008 / OPS-002 / QA-001</x:v>
      </x:c>
      <x:c r="E47"/>
      <x:c r="F47" t="str">
        <x:v>pnpm verify成功（11ファイル・79テスト、型0警告、Cloudflare製品ビルド成功）。Cloudflare検証環境へ公開</x:v>
      </x:c>
    </x:row>
    <x:row r="48">
      <x:c r="A48" s="55" t="n">
        <x:v>46268</x:v>
      </x:c>
      <x:c r="B48" t="str">
        <x:v>STEP 1履歴の問題表示拡大</x:v>
      </x:c>
      <x:c r="C48" t="str">
        <x:v>履歴内の「問題1」などの見出しを18px、実際の問題文を17pxへ拡大。説明文との文字階層を明確にし、余白もわずかに調整した。</x:v>
      </x:c>
      <x:c r="D48" t="str">
        <x:v>APP-008 / OPS-002 / QA-001</x:v>
      </x:c>
      <x:c r="E48"/>
      <x:c r="F48" t="str">
        <x:v>pnpm verify成功（11ファイル・79テスト、型0警告、Cloudflare製品ビルド成功）。Cloudflare検証環境へ公開</x:v>
      </x:c>
    </x:row>
    <x:row r="49">
      <x:c r="A49" s="55" t="n">
        <x:v>46268</x:v>
      </x:c>
      <x:c r="B49" t="str">
        <x:v>STEP 1履歴の問題見出しマーカー</x:v>
      </x:c>
      <x:c r="C49" t="str">
        <x:v>履歴内の「問題1」〜「問題5」の見出し直前に、小さな緑色の「■」を追加し、問題ごとの区切りを見つけやすくした。</x:v>
      </x:c>
      <x:c r="D49" t="str">
        <x:v>APP-008 / OPS-002 / QA-001</x:v>
      </x:c>
      <x:c r="E49"/>
      <x:c r="F49" t="str">
        <x:v>pnpm verify成功（11ファイル・79テスト、型0警告、Cloudflare製品ビルド成功）。Cloudflare検証環境へ公開</x:v>
      </x:c>
    </x:row>
    <x:row r="50">
      <x:c r="A50" s="55" t="n">
        <x:v>46268</x:v>
      </x:c>
      <x:c r="B50" t="str">
        <x:v>STEP 1履歴の問題見出し縦線</x:v>
      </x:c>
      <x:c r="C50" t="str">
        <x:v>文字記号の「■」は縦位置がずれるため削除し、「問題1」〜「問題5」の見出し左側にCSSで緑色の縦線を描く表示へ変更した。</x:v>
      </x:c>
      <x:c r="D50" t="str">
        <x:v>APP-008 / OPS-002 / QA-001</x:v>
      </x:c>
      <x:c r="E50"/>
      <x:c r="F50" t="str">
        <x:v>pnpm verify成功（11ファイル・79テスト、型0警告、Cloudflare製品ビルド成功）。Cloudflare検証環境へ公開</x:v>
      </x:c>
    </x:row>
    <x:row r="51">
      <x:c r="A51" s="55" t="n">
        <x:v>46268</x:v>
      </x:c>
      <x:c r="B51" t="str">
        <x:v>課題ページの内部処理説明を削除</x:v>
      </x:c>
      <x:c r="C51" t="str">
        <x:v>課題ページから「同じ問題の偏りを防ぐため、提出履歴から別の問題を選んでいます。」の表示を削除。問題選択処理そのものは変更していない。</x:v>
      </x:c>
      <x:c r="D51" t="str">
        <x:v>APP-003 / OPS-002 / QA-001</x:v>
      </x:c>
      <x:c r="E51"/>
      <x:c r="F51" t="str">
        <x:v>pnpm verify成功（11ファイル・80テスト、型0警告、Cloudflare製品ビルド成功）。Cloudflare検証環境へ公開</x:v>
      </x:c>
    </x:row>
    <x:row r="52">
      <x:c r="A52" s="55" t="n">
        <x:v>46269</x:v>
      </x:c>
      <x:c r="B52" t="str">
        <x:v>段階1のセット番号表示を削除</x:v>
      </x:c>
      <x:c r="C52" t="str">
        <x:v>課題画面から「（セット238）」のような内部管理番号を削除。旧発行済み問題の表示も整形し、番号を隠しても内部特徴により別の5問セットを選べるようにした。</x:v>
      </x:c>
      <x:c r="D52" t="str">
        <x:v>APP-013 / QA-001・008 / OPS-002</x:v>
      </x:c>
      <x:c r="E52"/>
      <x:c r="F52" t="str">
        <x:v>pnpm verify成功（11ファイル・81テスト、型0警告、Cloudflare製品ビルド成功）。Cloudflare検証環境へ公開</x:v>
      </x:c>
    </x:row>
    <x:row r="53">
      <x:c r="A53" s="55" t="n">
        <x:v>46269</x:v>
      </x:c>
      <x:c r="B53" t="str">
        <x:v>要修正後の入力可否と画面遷移を修正</x:v>
      </x:c>
      <x:c r="C53" t="str">
        <x:v>認証・DB保存・ユーザー分離のオンライン確認完了を反映。要修正後は未完了の発行済み問題を根拠に入力可能とし、修正画面で入力欄へフォーカスする。段階1、通常トレーニング、進級テスト、全課程修了の結果後遷移も統一した。</x:v>
      </x:c>
      <x:c r="D53" t="str">
        <x:v>APP-007 / AUTH-004 / DB-005 / OPS-002 / QA-001・003</x:v>
      </x:c>
      <x:c r="E53"/>
      <x:c r="F53" t="str">
        <x:v>12ファイル85テスト成功、Svelte型検査0エラー・0警告、Cloudflare製品ビルド成功。検証環境Version 40423fb0-4d84-4cdc-8bf7-acd2ed9f6a74へ公開</x:v>
      </x:c>
    </x:row>
    <x:row r="54">
      <x:c r="A54" s="55" t="n">
        <x:v>46269</x:v>
      </x:c>
      <x:c r="B54" t="str">
        <x:v>課題読込エラーの診断表示を追加</x:v>
      </x:c>
      <x:c r="C54" t="str">
        <x:v>SupabaseのDB整合性を個人情報なしの集計で確認し、欠落・形式不正・重複・孤立データが0件であることを確認。課題初期化の共通エラーを読込項目別と問題発行に分け、安全なエラーコードと画面内の再試行ボタンを表示するよう変更した。</x:v>
      </x:c>
      <x:c r="D54" t="str">
        <x:v>APP-007 / OPS-002 / QA-001</x:v>
      </x:c>
      <x:c r="E54"/>
      <x:c r="F54" t="str">
        <x:v>13ファイル88テスト成功、Svelte型検査0エラー・0警告、Cloudflare製品ビルド成功。検証環境Version 3297fd80-7560-4643-a698-684890da3a31へ公開</x:v>
      </x:c>
    </x:row>
    <x:row r="55">
      <x:c r="A55" s="55" t="n">
        <x:v>46269</x:v>
      </x:c>
      <x:c r="B55" t="str">
        <x:v>問題発行の23505競合を修正</x:v>
      </x:c>
      <x:c r="C55" t="str">
        <x:v>23505は課題初期化の同時実行が未完了問題の一意制約へ競合したことが原因。issue_problemを全一意制約で冪等化し、ブラウザ内の同一ユーザー・段階の発行要求も共有。既存履歴を削除せず修正した。</x:v>
      </x:c>
      <x:c r="D55" t="str">
        <x:v>APP-007 / DB-003 / OPS-002 / QA-001</x:v>
      </x:c>
      <x:c r="E55"/>
      <x:c r="F55" t="str">
        <x:v>13ファイル89テスト成功、型検査0エラー・0警告、Cloudflare製品ビルド成功。migration 202609040001をremote適用・確認。Cloudflare Version 79e467a9-31b4-40b6-bfcf-822bd359aa8bへ公開</x:v>
      </x:c>
    </x:row>
    <x:row r="56">
      <x:c r="A56" s="55" t="n">
        <x:v>46269</x:v>
      </x:c>
      <x:c r="B56" t="str">
        <x:v>STEP 1の問題識別と提出失敗を修正</x:v>
      </x:c>
      <x:c r="C56" t="str">
        <x:v>STEP 1の共通課題文から同じ問題識別値を作っていたため、異なる5問セットが重複扱いとなり、問題履歴未作成のまま提出が拒否されていた。5問の種別・指示・問題文・選択肢から識別値を作り、同一セットだけを重複と判定するよう修正。提出失敗時のエラーコード表示も追加した。</x:v>
      </x:c>
      <x:c r="D56" t="str">
        <x:v>APP-007 / APP-013 / OPS-002 / QA-001・008</x:v>
      </x:c>
      <x:c r="E56"/>
      <x:c r="F56" t="str">
        <x:v>14ファイル92テスト成功、型検査0エラー・0警告、Cloudflare製品ビルド成功。検証環境Version 4eb45d00-e65b-479a-a8fc-62b2f6748963へ公開し、対象URLのHTTP 200を確認</x:v>
      </x:c>
    </x:row>
    <x:row r="57">
      <x:c r="A57" s="55" t="n">
        <x:v>46270</x:v>
      </x:c>
      <x:c r="B57" t="str">
        <x:v>ホーム画面の学習開始ボタンを統一</x:v>
      </x:c>
      <x:c r="C57" t="str">
        <x:v>同じ課題へ移動する「学習を続ける」と「問題を開く」の重複導線を整理。ヒーロー領域のボタンを削除し、「次の問題」欄に「学習を始める」ボタンを一つだけ表示するよう変更した。</x:v>
      </x:c>
      <x:c r="D57" t="str">
        <x:v>APP-004 / OPS-002 / QA-001</x:v>
      </x:c>
      <x:c r="E57"/>
      <x:c r="F57" t="str">
        <x:v>14ファイル93テスト成功、型検査0エラー・0警告、Cloudflare製品ビルド成功。検証環境Version c83cc287-b433-4417-a677-4160a23bd7deへ公開</x:v>
      </x:c>
    </x:row>
    <x:row r="58" ht="180" customHeight="1">
      <x:c r="A58" s="213" t="n">
        <x:v>46270</x:v>
      </x:c>
      <x:c r="B58" s="211" t="str">
        <x:v>レビュー指摘1〜5の順次修正とDB整合性確認</x:v>
      </x:c>
      <x:c r="C58" s="211" t="str">
        <x:v>重複候補の不正発行、保存後の取得失敗、提出中の入力変更、結果の区分表示、修了後再学習を修正。DB関数をmigrationで更新。既存データの削除なし。モック枯渇後の問題補充はClaude接続時に対応。</x:v>
      </x:c>
      <x:c r="D58" s="211" t="str">
        <x:v>APP-007・013 / DB-003〜005 / OPS-002 / QA-001・008</x:v>
      </x:c>
      <x:c r="E58" s="211"/>
      <x:c r="F58" s="211" t="str">
        <x:v>各修正後99→102→104→106→107件成功。型検査・ビルド成功。DB回帰テスト成功、整合性11項目不整合0件。公開Version a41a45ab-b50c-4132-9204-8d93a3e7a246。認証済みブラウザE2Eは未実施。</x:v>
      </x:c>
    </x:row>
    <x:row r="59" ht="160" customHeight="1">
      <x:c r="A59" s="213" t="n">
        <x:v>46270</x:v>
      </x:c>
      <x:c r="B59" s="211" t="str">
        <x:v>STEP 1の解答保持と部分修正</x:v>
      </x:c>
      <x:c r="C59" s="211" t="str">
        <x:v>通常トレーニングの不正解セットを閉じず、正解済みを保持して同じセットへ再提出する方式へ変更。間違えた問題を強調し、再読み込みでも解答を復元。進級テストは一回解答を維持。旧完了セットは再開しない。</x:v>
      </x:c>
      <x:c r="D59" s="211" t="str">
        <x:v>APP-006・007 / DB-003〜005 / OPS-002 / QA-001・008</x:v>
      </x:c>
      <x:c r="E59" s="211"/>
      <x:c r="F59" s="211" t="str">
        <x:v>109テスト・型検査・ビルド成功。隔離ブラウザで4問保持と1問修正、再読み込み、再提出を確認。実DB回帰テスト成功、整合性11項目不整合0件。公開Version b2d2cc37-d8b1-479e-a7a4-e587781ccbbc。</x:v>
      </x:c>
    </x:row>
    <x:row r="60" ht="140" customHeight="1">
      <x:c r="A60" s="213" t="n">
        <x:v>46270</x:v>
      </x:c>
      <x:c r="B60" s="211" t="str">
        <x:v>合否表示とスクロール位置を整理</x:v>
      </x:c>
      <x:c r="C60" s="211" t="str">
        <x:v>提出後は合否と残り合格数を最上部に表示。結果見出しとラベルを整理。修正画面の正解ラベルを短縮し、履歴の不正解を修正画面と同じ色で強調。DB・採点・進捗計算は変更なし。</x:v>
      </x:c>
      <x:c r="D60" s="211" t="str">
        <x:v>APP-007 / OPS-002 / QA-001・008</x:v>
      </x:c>
      <x:c r="E60" s="211"/>
      <x:c r="F60" s="211" t="str">
        <x:v>109テスト・型検査・ビルド成功。PC幅・スマホ幅の隔離ブラウザでスクロール、解答保持、再提出、履歴表示を確認。公開Version b3a91aed-fc86-4444-948e-753eca5be2d9。</x:v>
      </x:c>
    </x:row>
    <x:row r="61" ht="100" customHeight="1">
      <x:c r="A61" s="213" t="n">
        <x:v>46270</x:v>
      </x:c>
      <x:c r="B61" s="211" t="str">
        <x:v>残り問題数の案内文を短縮</x:v>
      </x:c>
      <x:c r="C61" s="211" t="str">
        <x:v>「あとN問の合格で進級テストにチャレンジできます。」を「進級テストまであとN問」に変更。合否表示・進捗計算は維持。</x:v>
      </x:c>
      <x:c r="D61" s="211" t="str">
        <x:v>APP-007 / OPS-002</x:v>
      </x:c>
      <x:c r="E61" s="211"/>
      <x:c r="F61" s="211" t="str">
        <x:v>109テスト・型検査・ビルド成功。公開Version 4ed46378-38d1-4df3-a52c-9c79a50d2124。</x:v>
      </x:c>
    </x:row>
    <x:row r="62" ht="110" customHeight="1">
      <x:c r="A62" s="213" t="n">
        <x:v>46270</x:v>
      </x:c>
      <x:c r="B62" s="211" t="str">
        <x:v>残り問題数の案内から合否の重複を削除</x:v>
      </x:c>
      <x:c r="C62" s="211" t="str">
        <x:v>通常トレーニングの進捗案内を「進級テストまであとN問」に統一し、「要修正。」「合格。」を削除。合否は同じ枠内の大きなラベルで表示するため、判定情報は維持される。</x:v>
      </x:c>
      <x:c r="D62" s="211" t="str">
        <x:v>APP-007 / OPS-002</x:v>
      </x:c>
      <x:c r="E62" s="211"/>
      <x:c r="F62" s="211" t="str">
        <x:v>109テスト・型検査・ビルド成功。公開Version 3ac12f18-d930-4a6c-b22e-ac78e4552f8d。</x:v>
      </x:c>
    </x:row>
    <x:row r="63" ht="115" customHeight="1">
      <x:c r="A63" s="213" t="n">
        <x:v>46270</x:v>
      </x:c>
      <x:c r="B63" s="211" t="str">
        <x:v>進捗・設定の表示名と進級案内を調整</x:v>
      </x:c>
      <x:c r="C63" s="211" t="str">
        <x:v>メインナビゲーションの「進捗」を「進捗・設定」に変更。進級テスト合格後の案内を「段階Nへ進みました。」に変更し、重複する「合格。」を削除。判定ラベルと進捗計算は維持。</x:v>
      </x:c>
      <x:c r="D63" s="211" t="str">
        <x:v>APP-004 / APP-007 / OPS-002</x:v>
      </x:c>
      <x:c r="E63" s="211"/>
      <x:c r="F63" s="211" t="str">
        <x:v>111テスト・型検査・ビルド成功。公開Version 5290a754-d668-46ac-9465-2bdada3cb5b7。</x:v>
      </x:c>
    </x:row>
    <x:row r="64" ht="115" customHeight="1">
      <x:c r="A64" s="213" t="n">
        <x:v>46270</x:v>
      </x:c>
      <x:c r="B64" s="211" t="str">
        <x:v>課題トップの説明と開始ボタンを整理</x:v>
      </x:c>
      <x:c r="C64" s="211" t="str">
        <x:v>現在の課題の説明で、内容①・内容②を改行して読みやすく表示。開始ボタンをカード下部右側へ移し、ラベルが改行しないようにした。学習内容・進捗計算・遷移先は変更なし。</x:v>
      </x:c>
      <x:c r="D64" s="211" t="str">
        <x:v>APP-005 / OPS-002 / QA-001</x:v>
      </x:c>
      <x:c r="E64" s="211"/>
      <x:c r="F64" s="211" t="str">
        <x:v>112テスト・型検査・ビルド成功。公開Version e6bee8be-08c6-432e-89f8-818aa457410f。</x:v>
      </x:c>
    </x:row>
    <x:row r="65" ht="115" customHeight="1">
      <x:c r="A65" s="213" t="n">
        <x:v>46270</x:v>
      </x:c>
      <x:c r="B65" s="211" t="str">
        <x:v>STEP 2課題文の空行を削除</x:v>
      </x:c>
      <x:c r="C65" s="211" t="str">
        <x:v>STEP 2の全問題で、指示文と内容①の間にあった空行を削除。内容①・内容②の改行は維持した。生成元の問題バンク、生成済みカリキュラムJSON、回帰テストを同時に更新。</x:v>
      </x:c>
      <x:c r="D65" s="211" t="str">
        <x:v>APP-005 / CUR-003〜006 / OPS-002 / QA-001</x:v>
      </x:c>
      <x:c r="E65" s="211"/>
      <x:c r="F65" s="211" t="str">
        <x:v>112テスト・型検査・ビルド成功。公開Version d61ec6a6-224f-418b-896c-2f6fc8979793。</x:v>
      </x:c>
    </x:row>
    <x:row r="66" ht="115" customHeight="1">
      <x:c r="A66" s="213" t="n">
        <x:v>46270</x:v>
      </x:c>
      <x:c r="B66" s="211" t="str">
        <x:v>課題トップの開始ボタンを左寄せ</x:v>
      </x:c>
      <x:c r="C66" s="211" t="str">
        <x:v>現在の課題カードの「取り組む」ボタンを、下部右側から下部左側へ移動。ボタンの遷移先、最小幅、ラベル改行防止、課題内容と進捗計算は変更なし。</x:v>
      </x:c>
      <x:c r="D66" s="211" t="str">
        <x:v>APP-005 / OPS-002 / QA-001</x:v>
      </x:c>
      <x:c r="E66" s="211"/>
      <x:c r="F66" s="211" t="str">
        <x:v>112テスト・型検査・ビルド成功。公開Version cda29219-4c38-4c0d-932c-54303f173d02。</x:v>
      </x:c>
    </x:row>
    <x:row r="67" ht="190" customHeight="1">
      <x:c r="A67" s="213" t="n">
        <x:v>46271</x:v>
      </x:c>
      <x:c r="B67" s="211" t="str">
        <x:v>Claude添削のオンライン接続と安全な正式保存</x:v>
      </x:c>
      <x:c r="C67" s="211" t="str">
        <x:v>全14段階のオンライン提出をfeedback Edge Functionへ切替。STEP 1・3・4をHaiku、STEP 2・5〜14をSonnetへ振分。構造化出力と再検証、45秒タイムアウト、日次暫定予算、request_id予約、実測トークン記録を追加。ブラウザからの偽判定保存を禁止した。問題生成・補充は次工程。</x:v>
      </x:c>
      <x:c r="D67" s="211" t="str">
        <x:v>APP-007 / AI-003〜007・009 / DB-010 / OPS-002 / QA-001・010</x:v>
      </x:c>
      <x:c r="E67" s="211"/>
      <x:c r="F67" s="211" t="str">
        <x:v>117テスト・型検査・製品ビルド成功。RLS回帰、費用なしのサーバー境界・偽判定拒否・冪等性テスト成功。未認証401、公開HTTP 200。Supabase Function配備、DB migration適用、Cloudflare Version a3a8338f-7eff-4c76-83a0-3fd6b5e45e9b。実Claude正常応答は利用者画面で要確認。</x:v>
      </x:c>
    </x:row>
    <x:row r="68" ht="135" customHeight="1">
      <x:c r="A68" s="213" t="n">
        <x:v>46271</x:v>
      </x:c>
      <x:c r="B68" s="211" t="str">
        <x:v>全段階の問題文レイアウトを読みやすく整理</x:v>
      </x:c>
      <x:c r="C68" s="211" t="str">
        <x:v>ホーム・課題トップ・課題詳細・進捗画面で改行を保持して表示。STEP 2は指示と内容①・内容②を分け、STEP 3〜12も問題文の構造に応じて文番号、作業手順、指定文数、構成項目を行ごとに整理した。既存の表示も新しい問題文レイアウトへ復元する。</x:v>
      </x:c>
      <x:c r="D68" s="211" t="str">
        <x:v>APP-005 / CUR-003〜006 / OPS-002 / QA-001</x:v>
      </x:c>
      <x:c r="E68" s="211"/>
      <x:c r="F68" s="211" t="str">
        <x:v>117テスト・型検査・製品ビルド成功。Cloudflare Version 40b368b6-efd2-4dbf-8e83-16cca5b3748eへ公開済み。</x:v>
      </x:c>
    </x:row>
    <x:row r="69" ht="175" customHeight="1">
      <x:c r="A69" s="213" t="n">
        <x:v>46271</x:v>
      </x:c>
      <x:c r="B69" s="211" t="str">
        <x:v>Claude添削のHTTP 400を修正</x:v>
      </x:c>
      <x:c r="C69" s="211" t="str">
        <x:v>Structured Outputs非対応のminLength・maxLength・maxItems・2以上のminItemsを送信Schemaから除去。厳密な文字数・件数・重複・合否検証はサーバー側に維持した。確定失敗後は新しいrequest_idで再提出できるよう修正。</x:v>
      </x:c>
      <x:c r="D69" s="211" t="str">
        <x:v>AI-003 / AI-006〜007・009 / OPS-002 / QA-001</x:v>
      </x:c>
      <x:c r="E69" s="211"/>
      <x:c r="F69" s="211" t="str">
        <x:v>118テスト・型検査・製品ビルド成功。Sonnet 4.6直接検査HTTP 200、入力924・出力331トークン。Supabase再配備、Cloudflare Version e8e37c08-183b-4f82-9cdc-2f1feccc6a7d。利用者画面の提出は要確認。</x:v>
      </x:c>
    </x:row>
    <x:row r="70" ht="190" customHeight="1">
      <x:c r="A70" s="213" t="n">
        <x:v>46271</x:v>
      </x:c>
      <x:c r="B70" s="211" t="str">
        <x:v>STEP 2・3を各3問セットへ再設計・実装</x:v>
      </x:c>
      <x:c r="C70" s="211" t="str">
        <x:v>STEP 1は5問セットを維持。STEP 2を情報関係・明確さ・情報選択、STEP 3を文順・不足説明・流れ修正の各3問セットへ変更。全問正解で1セット合格、通常訓練では正解済みを保持して誤答だけ再提出する。Claude一括採点、全問履歴、27セットの重複回避、旧未提出問題の現行版更新を実装した。</x:v>
      </x:c>
      <x:c r="D70" s="211" t="str">
        <x:v>APP-007〜008・016 / CUR-009〜011 / AI-003・005〜006 / DB-011 / OPS-002 / QA-001・010〜011</x:v>
      </x:c>
      <x:c r="E70" s="211"/>
      <x:c r="F70" s="211" t="str">
        <x:v>122テスト・型検査・製品ビルド成功。Supabase migrationとfeedback Functionを配備。Cloudflare Version 8f2c1e38-0980-40a4-a018-5e7dcabb8b62。公開STEP 2・3 HTTP 200。実ユーザーのClaude提出品質は要確認。</x:v>
      </x:c>
    </x:row>
    <x:row r="71" ht="165" customHeight="1">
      <x:c r="A71" s="213" t="n">
        <x:v>46271</x:v>
      </x:c>
      <x:c r="B71" s="211" t="str">
        <x:v>未提出課題を残した段階変更を許可</x:v>
      </x:c>
      <x:c r="C71" s="211" t="str">
        <x:v>到達済み段階へ戻る操作が、別段階の未提出課題があるため拒否される不具合を修正。段階変更時に未提出課題を削除・無効化せず、元の段階へ戻ったときに同じ課題を再開するようSupabaseの段階変更関数を更新した。</x:v>
      </x:c>
      <x:c r="D71" s="211" t="str">
        <x:v>APP-007〜008 / DB-011 / QA-011</x:v>
      </x:c>
      <x:c r="E71" s="211"/>
      <x:c r="F71" s="211" t="str">
        <x:v>123テスト・型検査・製品ビルド成功。Supabase migration 202609060003_allow_stage_switch_with_open_problem.sqlを適用し、本番関数が未提出課題で段階変更を拒否しないことを確認。</x:v>
      </x:c>
    </x:row>
    <x:row r="72" ht="190" customHeight="1">
      <x:c r="A72" s="213" t="n">
        <x:v>46272</x:v>
      </x:c>
      <x:c r="B72" s="211" t="str">
        <x:v>進級状態を復習・画面移動から保護</x:v>
      </x:c>
      <x:c r="C72" s="211" t="str">
        <x:v>到達済み段階を選ぶと最高到達段階の進級テスト状態と合格数が失われる全段階共通の不具合を修正。最高到達段階の状態を別に保存し、復習後に復元する。最高到達段階は減少不可とし、進級成立と同じDB処理内で次段階を解放する。画面状態も完了・復習中・学習中・未完了へ整理した。</x:v>
      </x:c>
      <x:c r="D72" s="211" t="str">
        <x:v>APP-007〜008 / DB-011 / OPS-002 / QA-001・011</x:v>
      </x:c>
      <x:c r="E72" s="211"/>
      <x:c r="F72" s="211" t="str">
        <x:v>127テスト・型検査・製品ビルド成功。Supabase migration 202609070001_preserve_frontier_progress.sqlを適用。Cloudflare Version bf7116ff-7f98-473f-ba24-5402c8e7f5f1、公開課題ページHTTP 200。</x:v>
      </x:c>
    </x:row>
    <x:row r="73" ht="160" customHeight="1">
      <x:c r="A73" s="207" t="n">
        <x:v>46272</x:v>
      </x:c>
      <x:c r="B73" s="207" t="str">
        <x:v>Claude添削</x:v>
      </x:c>
      <x:c r="C73" s="207" t="str">
        <x:v>要修正の結果画面でだけ「やさしい説明を見る」を追加。Claude Haikuが元の添削を小学校高学年〜中学生向けに言い換えるが、合否・進級・正式添削は変更しない。同一提出IDの結果は保存して再利用し、入力2,600・出力600トークン、1日5回の暫定上限をDBで強制する。</x:v>
      </x:c>
      <x:c r="D73" s="207" t="str">
        <x:v>AI-003・006・007・009 / OPS-002 / QA-001</x:v>
      </x:c>
      <x:c r="E73" s="207"/>
      <x:c r="F73" s="207" t="str">
        <x:v>129テスト、型検査、製品ビルド成功。Supabase migration 202609070002とsimplify-feedback Functionを適用。Cloudflare Version b6fd461d-2479-49d5-8b43-e8a4217ae202へ公開。実Claude品質・実測トークンは次の利用者テストで確認。</x:v>
      </x:c>
    </x:row>
    <x:row r="74" ht="120" customHeight="1">
      <x:c r="A74" s="233" t="n">
        <x:v>46272</x:v>
      </x:c>
      <x:c r="B74" s="207" t="str">
        <x:v>毎回のやさしい解説設定</x:v>
      </x:c>
      <x:c r="C74" s="207" t="str">
        <x:v>進捗・設定画面へ難易度スイッチを追加。ONでは通常のClaude添削1回の解説を小学校高学年〜中学生向けにし、合否・採点基準・進級は維持する。設定を本人のlearning_progressへ保存し、添削関数がサーバー側で読み取る。ON時は重複するオンデマンド説明ボタンを隠す。</x:v>
      </x:c>
      <x:c r="D74" s="207" t="str">
        <x:v>APP-004 / DB-005 / AI-003・005〜006・009 / OPS-002 / QA-001</x:v>
      </x:c>
      <x:c r="E74" s="207"/>
      <x:c r="F74" s="207" t="str">
        <x:v>133テスト、型検査、製品ビルド、Supabase Claude権限/RLSテスト成功。migration 202609070003とfeedback Functionを配備。Cloudflare Version 9ef36a4c-e2bd-4aec-87d5-93059f7ba3fd、公開/progress HTTP 200。実Claude品質・実測トークンは利用者テストで確認。</x:v>
      </x:c>
    </x:row>
    <x:row r="75" ht="120" customHeight="1">
      <x:c r="A75" s="233" t="n">
        <x:v>46272</x:v>
      </x:c>
      <x:c r="B75" s="207" t="str">
        <x:v>進捗・設定画面の案内文調整</x:v>
      </x:c>
      <x:c r="C75" s="207" t="str">
        <x:v>ページタイトルを「学習進捗・設定」へ変更。解説の難易度をONにした場合は、読みやすさを優先するため解説が長くなったり最適な表現から若干ズレる可能性があることを、合否や採点基準は変わらない旨とともに明記した。</x:v>
      </x:c>
      <x:c r="D75" s="207" t="str">
        <x:v>APP-004 / AI-005 / OPS-002 / QA-001</x:v>
      </x:c>
      <x:c r="E75" s="207"/>
      <x:c r="F75" s="207" t="str">
        <x:v>133テスト、型検査、製品ビルド成功。Cloudflare Version 04a67cd6-a884-477b-a840-dde540087086へ公開し、公開/progressのHTTP 200を確認。</x:v>
      </x:c>
    </x:row>
    <x:row r="76" ht="120" customHeight="1">
      <x:c r="A76" s="233" t="n">
        <x:v>46272</x:v>
      </x:c>
      <x:c r="B76" s="207" t="str">
        <x:v>やさしい解説の修正画面引継ぎ</x:v>
      </x:c>
      <x:c r="C76" s="207" t="str">
        <x:v>オンデマンドのやさしい解説を表示してから修正へ進む場合、その解説と「次にすること」を入力欄の上へ表示するよう変更。未取得なら通常解説を転記する。単問と問題セットの両方に対応し、再読み込み時はSupabaseの保存済み結果だけを取得してClaudeの追加利用を防ぐ。</x:v>
      </x:c>
      <x:c r="D76" s="207" t="str">
        <x:v>APP-006・007 / AI-003 / OPS-002 / QA-001</x:v>
      </x:c>
      <x:c r="E76" s="207"/>
      <x:c r="F76" s="207" t="str">
        <x:v>17ファイル134テスト、型検査0エラー・0警告、製品ビルド成功。Cloudflare Version bdac8222-6f6b-4ee5-94a6-6ab8150776f7へ公開し、公開/tasks HTTP 200を確認。実アカウントE2Eは次回確認。</x:v>
      </x:c>
    </x:row>
    <x:row r="77" ht="120" customHeight="1">
      <x:c r="A77" s="233" t="n">
        <x:v>46272</x:v>
      </x:c>
      <x:c r="B77" s="207" t="str">
        <x:v>複数問題の解説・解答レイアウト</x:v>
      </x:c>
      <x:c r="C77" s="207" t="str">
        <x:v>STEP 1〜3の問題セットで、解説を画面上部に一括表示する構成を廃止。修正画面は各問題の「問題文→解説→入力欄」、結果画面は「問題文→あなたの解答→正誤→解説」を1カードにまとめた。やさしい解説を取得済みの場合も、対応する不正解問題のカードだけに表示する。</x:v>
      </x:c>
      <x:c r="D77" s="207" t="str">
        <x:v>APP-007 / OPS-002 / QA-001</x:v>
      </x:c>
      <x:c r="E77" s="207"/>
      <x:c r="F77" s="207" t="str">
        <x:v>17ファイル135テスト、型検査0エラー・0警告、製品ビルド成功。Cloudflare Version 0a495e9a-33e9-4248-8045-b45acbb8a9e5へ公開し、公開/tasks HTTP 200を確認。認証済み画面E2Eは次回確認。</x:v>
      </x:c>
    </x:row>
    <x:row r="78" ht="120" customHeight="1">
      <x:c r="A78" s="233" t="n">
        <x:v>46273</x:v>
      </x:c>
      <x:c r="B78" s="207" t="str">
        <x:v>全段階のClaude添削整合性修正</x:v>
      </x:c>
      <x:c r="C78" s="207" t="str">
        <x:v>STEP 1〜3で学習者解答と正解資料を明示分離し、Claudeが不正解としながら正解例に同じ答案を示す場合は正解へ補正して解説も整合させる。セット合否は各問から再計算。STEP 4〜14には合否・言語状態・技能評価・未回答説明の矛盾検査を追加。問題識別値へ採点資料を含め、問題版をv10へ更新した。</x:v>
      </x:c>
      <x:c r="D78" s="207" t="str">
        <x:v>APP-007 / AI-003・005・006 / OPS-002 / QA-001</x:v>
      </x:c>
      <x:c r="E78" s="207"/>
      <x:c r="F78" s="207" t="str">
        <x:v>17ファイル138テスト、型検査0エラー・0警告、製品ビルド成功。feedback Edge FunctionをSupabaseへ、Cloudflare Version cf7b66aa-530c-4e27-8e3d-25bb74a6cc64を検証環境へ公開。トップ・課題画面HTTP 200。認証済み全段階E2Eは次回確認。</x:v>
      </x:c>
    </x:row>
    <x:row r="79" ht="120" customHeight="1">
      <x:c r="A79" s="233" t="n">
        <x:v>46274</x:v>
      </x:c>
      <x:c r="B79" s="207" t="str">
        <x:v>やさしい解説を設定方式へ一本化</x:v>
      </x:c>
      <x:c r="C79" s="207" t="str">
        <x:v>結果後の「やさしい説明を見る」と追加Claude呼出を廃止。設定OFFは通常解説、ONは小学校高学年〜中学生向け解説のどちらか一種類だけを通常添削で生成・表示・保存する。課題トップの取り組むボタン付近とOFF時の要修正結果に設定案内を追加。専用Edge Function、DB関数、キャッシュテーブル、予算設定を撤去した。</x:v>
      </x:c>
      <x:c r="D79" s="207" t="str">
        <x:v>APP-006・007 / AI-003・005・006 / OPS-002 / QA-001</x:v>
      </x:c>
      <x:c r="E79" s="207"/>
      <x:c r="F79" s="207" t="str">
        <x:v>17ファイル138テスト、型検査0エラー・0警告、製品ビルド、migration dry-run成功。migration適用とsimplify-feedback削除後、DB撤去対象不在・通常feedback ACTIVEを確認。Cloudflare Version a783c524-4627-4f87-8b7a-7d8a2d5f9868へ公開し、3画面HTTP 200。実アカウントE2Eは次回確認。</x:v>
      </x:c>
    </x:row>
    <x:row r="80" ht="120" customHeight="1">
      <x:c r="A80" s="233" t="n">
        <x:v>46274</x:v>
      </x:c>
      <x:c r="B80" s="207" t="str">
        <x:v>複数問題の入力見積りとエラー表示を修正</x:v>
      </x:c>
      <x:c r="C80" s="207" t="str">
        <x:v>STEP 1〜3は各問題、正解候補、採点観点、出力Schema、やさしい表現指示を含むClaude要求全体をUTF-8バイト数から見積もる。全段階で呼出直前にも再検査する。添削暫定値を入力8,000・出力1,800・1日20回・日次入力160,000へ調整。やさしい解説は通常添削と同じ1回で生成し、専用回数なし。80文字までの安全なエラーコードと原因別メッセージへ対応した。</x:v>
      </x:c>
      <x:c r="D80" s="207" t="str">
        <x:v>AI-003・007 / OPS-002 / QA-001</x:v>
      </x:c>
      <x:c r="E80" s="207"/>
      <x:c r="F80" s="207" t="str">
        <x:v>17ファイル141テスト、型検査0エラー・0警告、製品ビルド、migration dry-run・適用、Claude予約DBロールバックテスト、公開3画面HTTP 200に成功。feedback Version 10、Cloudflare Version d4f2eb9f-72b8-46b3-b315-15291da2e288。DBで暫定上限とやさしい解説専用予算なしを確認。実アカウントE2Eは次回確認。</x:v>
      </x:c>
    </x:row>
    <x:row r="81" ht="135" customHeight="1">
      <x:c r="A81" s="233" t="n">
        <x:v>46274</x:v>
      </x:c>
      <x:c r="B81" s="207" t="str">
        <x:v>カリキュラム・AI添削</x:v>
      </x:c>
      <x:c r="C81" s="207" t="str">
        <x:v>問題文と採点条件の不整合を修正</x:v>
      </x:c>
      <x:c r="D81" s="207" t="str">
        <x:v>AI-003 / CUR-006 / QA-001</x:v>
      </x:c>
      <x:c r="E81" s="207"/>
      <x:c r="F81" s="207" t="str">
        <x:v>STEP 1〜14の課題構造を確認。STEP 2の主語が特定できない問題と、STEP 3の元情報の扱いが曖昧な3問題を修正。正解例だけを暗黙の必須条件にしない採点規則と回帰テストを追加。143件の自動テスト、型検査、製品ビルドに成功。Supabase feedback Version 11、Cloudflare Version 4b671d6a-5825-46f4-83ec-a5424e7653aaへ公開し、課題トップHTTP 200を確認。</x:v>
      </x:c>
    </x:row>
    <x:row r="82">
      <x:c r="A82" t="n">
        <x:v>46274</x:v>
      </x:c>
      <x:c r="B82" t="str">
        <x:v>Claude問題生成を全14段階へ接続・公開</x:v>
      </x:c>
      <x:c r="C82" t="str">
        <x:v>固定問題と承認済み問題バンクを優先し、在庫がない場合だけSonnet 5で生成する仕組みを実装。段階別Schemaと再検証、検証不合格時1回再生成、安定request_id、暫定予算予約、問題バンク登録・再利用、発行、利用量記録、失敗時のローカル問題退避を追加した。</x:v>
      </x:c>
      <x:c r="D82" t="str">
        <x:v>AI-004・006〜009 / DB-010 / OPS-002 / QA-001・009〜010</x:v>
      </x:c>
      <x:c r="E82"/>
      <x:c r="F82" t="str">
        <x:v>18ファイル152テスト、型検査0エラー・0警告、製品ビルド成功。migration 202609090003をオンライン適用しproblem-generation Functionを配備。CORS 204・未認証401。Cloudflare Version ede05f22-7d34-4728-ba13-224ab6d3b830、公開4画面HTTP 200。実ユーザー生成品質・実測費用は要確認。</x:v>
      </x:c>
    </x:row>
    <x:row r="83" ht="190" customHeight="1">
      <x:c r="A83" s="213" t="n">
        <x:v>46275</x:v>
      </x:c>
      <x:c r="B83" s="211" t="str">
        <x:v>固定問題10セットと後半課題の品質監査・修正</x:v>
      </x:c>
      <x:c r="C83" s="211" t="str">
        <x:v>STEP 1の5問×10セット、STEP 2・3の3問×10セットを個別設計し、全110小問の日本語・指示・正解・解説を確認。STEP 4〜14は10の共通論点を統一し、元情報の扱い、結論、反対意見への応答などの提出条件を明記した。固定例を問題の正解と誤認しない表示も追加した。</x:v>
      </x:c>
      <x:c r="D83" s="211" t="str">
        <x:v>CUR-005〜009 / APP-013 / QA-009〜010</x:v>
      </x:c>
      <x:c r="E83" s="211" t="str"/>
      <x:c r="F83" s="211" t="str">
        <x:v>全157テスト、Svelte型検査0エラー・0警告、Cloudflare製品ビルド成功。feedback・problem-generationをSupabaseへ、Cloudflare Version 22dd4bdf-0267-487a-9513-aa175ec7abb3を検証環境へ公開。公開3画面HTTP 200、問題生成関数CORS 204・未認証401。実アカウントでの代表問題とClaude生成品質は次回確認。</x:v>
      </x:c>
    </x:row>
    <x:row r="84">
      <x:c r="A84" t="n">
        <x:v>46275</x:v>
      </x:c>
      <x:c r="B84" t="str">
        <x:v>論点拡張・自由テーマ設定</x:v>
      </x:c>
      <x:c r="C84" t="str">
        <x:v>STEP 4〜14を大学入試小論文向け78論点へ拡張。設定画面に初期値ランダムと、1〜3件・各20文字以内の自由設定を追加した。自由テーマはSTEP 4以降の次問から反映し、テーマ固有IDで固定論点や別テーマとの混在を防止。Claude問題生成へ同じテーマを渡し、DBにも制約付きで保存する。</x:v>
      </x:c>
      <x:c r="D84" t="str">
        <x:v>APP-004・013 / CUR-005〜007 / DB-005・010 / AI-008 / OPS-002 / QA-001・009〜010</x:v>
      </x:c>
      <x:c r="E84"/>
      <x:c r="F84" t="str">
        <x:v>18ファイル166テスト、型検査0エラー・0警告、製品ビルド成功。migration 202609100001をオンライン適用し、problem-generation-v3とCloudflare Version 323154c0-dea6-482f-9bd5-d7b2c282cd04を公開。認証済み自由テーマE2Eは次回確認。</x:v>
      </x:c>
    </x:row>
    <x:row r="85">
      <x:c r="A85" t="n">
        <x:v>46275</x:v>
      </x:c>
      <x:c r="B85" t="str">
        <x:v>提出中断後の結果復旧</x:v>
      </x:c>
      <x:c r="C85" t="str">
        <x:v>提出返答前にスクリーンセーバーや認証更新で画面処理が止まっても、同一タブに保持した提出IDで完了を自動確認する。サーバー側で保存済みなら、問題・解答・添削・提出前進捗から結果画面を再構成する。古い問題URLで別の未提出問題が現在問題の場合は自動移動する。</x:v>
      </x:c>
      <x:c r="D85" t="str">
        <x:v>APP-007 / QA-001 / OPS-002</x:v>
      </x:c>
      <x:c r="E85"/>
      <x:c r="F85" t="str">
        <x:v>18ファイル169テスト、型検査0エラー・0警告、製品ビルド成功。Cloudflare Version 23d684e6-2040-4cae-8d02-7415b8890400へ公開し、課題画面とService WorkerのHTTP 200を確認。実アカウントでのスリープ復旧再現テストは次回確認。</x:v>
      </x:c>
    </x:row>
    <x:row r="86">
      <x:c r="A86" t="n">
        <x:v>46275</x:v>
      </x:c>
      <x:c r="B86" t="str">
        <x:v>復習ボタンの直接遷移</x:v>
      </x:c>
      <x:c r="C86" t="str">
        <x:v>課題トップの「復習する」または「学習に戻る」を押した際、段階変更の保存後に対象段階の未提出問題または次の問題を選び、その問題画面へ直接移動するよう変更した。最上部へ戻って「取り組む」を押す二重操作をなくした。</x:v>
      </x:c>
      <x:c r="D86" t="str">
        <x:v>APP-004 / QA-001 / OPS-002</x:v>
      </x:c>
      <x:c r="E86"/>
      <x:c r="F86" t="str">
        <x:v>18ファイル170テスト、型検査0エラー・0警告、製品ビルド成功。Cloudflare Version 1e1637d1-13fc-4e18-840b-4c6808787f74へ公開。実アカウントでの復習直接遷移は次回確認。</x:v>
      </x:c>
    </x:row>
    <x:row r="87">
      <x:c r="A87" t="n">
        <x:v>46275</x:v>
      </x:c>
      <x:c r="B87" t="str">
        <x:v>Claude添削の判定整合性を修正</x:v>
      </x:c>
      <x:c r="C87" t="str">
        <x:v>ClaudeがlanguageStatusをclean、decisionをreviseと返した際にinconsistent_decisionとして保存を止めていた過剰検証を修正。日本語表現の状態と段階目標の達成判定を分離し、DBと同じ規則へ統一した。Claude指示と回帰テストを追加し、応答後の検証失敗でも実使用量を記録するよう修正した。</x:v>
      </x:c>
      <x:c r="D87" t="str">
        <x:v>AI-003・006 / QA-001</x:v>
      </x:c>
      <x:c r="E87"/>
      <x:c r="F87" t="str">
        <x:v>18ファイル171テスト、型検査0エラー・0警告、製品ビルド成功。feedback Edge FunctionをSupabaseへ配備。実アカウントで同じ答案の再提出確認が必要。</x:v>
      </x:c>
    </x:row>
    <x:row r="88">
      <x:c r="A88" t="n">
        <x:v>46276</x:v>
      </x:c>
      <x:c r="B88" t="str">
        <x:v>固定問題消費後のClaude生成QAハーネス</x:v>
      </x:c>
      <x:c r="C88" t="str">
        <x:v>通常の画面・URL・出題経路を変えず、テスト利用者だけの固定問題10セット消費済み状態を作るローカル専用ツールを追加。生成問題はqa状態で隔離し、通常利用者には出題されない。リセットは当該利用者の下書き・提出・添削・履歴・AI利用記録とqa問題だけを削除する。</x:v>
      </x:c>
      <x:c r="D88" t="str">
        <x:v>QA-010 / AI-008〜009 / DB-010</x:v>
      </x:c>
      <x:c r="E88"/>
      <x:c r="F88" t="str">
        <x:v>QAハーネスのDB migrationをSupabaseへ適用。172テスト、型検査0エラー・0警告、製品ビルド成功。テスト用メールの登録・確認後にseed、Claude生成、添削、履歴復元、resetを実アカウントで確認する。</x:v>
      </x:c>
    </x:row>
    <x:row r="89">
      <x:c r="A89" t="n">
        <x:v>46276</x:v>
      </x:c>
      <x:c r="B89" t="str">
        <x:v>QAハーネスのSolレビュー修正とDB統合テスト</x:v>
      </x:c>
      <x:c r="C89" t="str">
        <x:v>QA問題を履歴より先に削除する外部キー不整合、進捗保護トリガーにより最高到達段階が戻らない問題、QA本文ハッシュと通常問題の衝突、QA接尾辞を自由テーマとして解釈する問題を修正。使い捨て利用者で投入・隔離・生成確定・完全リセットを検証するSQLテストを追加した。</x:v>
      </x:c>
      <x:c r="D89" t="str">
        <x:v>QA-010 / AI-008〜009 / DB-010</x:v>
      </x:c>
      <x:c r="E89"/>
      <x:c r="F89" t="str">
        <x:v>migration 202609110002をSupabaseへ適用。QA統合テストと既存RLS回帰テストがロールバックまで成功。173テスト、型検査0エラー・0警告、製品ビルド成功。Cloudflare Version 1e5100c2-a14e-4aff-a45d-adc9b3c333adへ公開し、トップ・課題画面HTTP 200。実Claudeテストはメール登録後に実施する。</x:v>
      </x:c>
    </x:row>
    <x:row r="90">
      <x:c r="A90" s="55" t="n">
        <x:v>46276</x:v>
      </x:c>
      <x:c r="B90" t="str">
        <x:v>生成問題の事前品質審査・試行運用・5回終了</x:v>
      </x:c>
      <x:c r="C90" t="str">
        <x:v>Claude生成直後に別呼出で7項目を第三者審査し、不合格時は1回だけ修正して再審査する。合格前はtrialとして共有せず、5回目の要修正で問題を不採用にして模範解答を示し、進捗へ不利益を与えず次問へ進める。5回未満で正しく解答できた共通テーマ問題だけ共有問題バンクへ昇格し、自由テーマは共有しない。</x:v>
      </x:c>
      <x:c r="D90" t="str">
        <x:v>AI-008〜009 / DB-010 / QA-001・010 / OPS-002</x:v>
      </x:c>
      <x:c r="E90"/>
      <x:c r="F90" t="str">
        <x:v>migration 202609110003をオンライン適用し、problem-generation Edge FunctionとCloudflare Version 5076f2b8-5ea4-4fc8-b68a-17b0403a4911を公開。18ファイル178テスト、型検査、製品ビルド、品質ライフサイクル・既存RLS・Claude・QAのDB統合テストが成功。トップ・課題一覧HTTP 200。実Claude生成と5回終了の認証済みE2Eは要確認。</x:v>
      </x:c>
    </x:row>
    <x:row r="91">
      <x:c r="A91" s="55" t="n">
        <x:v>46277</x:v>
      </x:c>
      <x:c r="B91" t="str">
        <x:v>STEP 1助詞問題と進級テスト入力ロックを修正</x:v>
      </x:c>
      <x:c r="C91" t="str">
        <x:v>不自然な助詞の連続を題材にした問題を、実際に起こり得る助詞選択の誤りへ変更した。固定問題消費後のClaude試用・QA問題ではURL識別子が復元時に失われ、DBの発行済み問題IDと一致せず入力がロックされていたため、解析後も元のIDを保持するよう共通処理を修正した。</x:v>
      </x:c>
      <x:c r="D91" t="str">
        <x:v>APP-016 / AI-008 / QA-001・010 / OPS-002</x:v>
      </x:c>
      <x:c r="E91"/>
      <x:c r="F91" t="str">
        <x:v>STEP 1〜14、選択式・記述式、自由テーマ、trial・QA識別子を回帰検査。18ファイル182テスト、型検査0エラー・0警告、製品ビルド成功。Cloudflare Version 4e282319-fc91-42b7-9520-8f2c7a0c20faへ公開し、トップ・課題一覧HTTP 200。認証済み実画面でのSTEP 1進級テスト操作は要確認。</x:v>
      </x:c>
    </x:row>
    <x:row r="92">
      <x:c r="A92" s="55" t="n">
        <x:v>46277</x:v>
      </x:c>
      <x:c r="B92" t="str">
        <x:v>STEP 2情報選択問題の指示を全面改訂</x:v>
      </x:c>
      <x:c r="C92" t="str">
        <x:v>「目的・方法・補足」の関係と補足の扱いを学習者へ推測させていたため、固定10問を中心内容と番号付き材料の形式へ統一した。必ず残す内容、使う材料、使わない材料、言い換えの可否を明記した。Claude生成問題にも同じ構造検査と独立品質審査を適用した。</x:v>
      </x:c>
      <x:c r="D92" t="str">
        <x:v>CUR-011 / AI-008 / QA-001 / OPS-002</x:v>
      </x:c>
      <x:c r="E92"/>
      <x:c r="F92" t="str">
        <x:v>18ファイル185テスト、型検査0エラー・0警告、製品ビルド成功。Supabase problem-generationとCloudflare Version 6edcaaf1-af70-4343-bd35-1c492cfb679dへ公開。トップ・課題一覧HTTP 200。公開画面でのSTEP 2全10セットと実Claude生成品質は要確認。</x:v>
      </x:c>
    </x:row>
    <x:row r="93">
      <x:c r="A93" s="55" t="n">
        <x:v>46277</x:v>
      </x:c>
      <x:c r="B93" t="str">
        <x:v>STEP 2情報選択問題の説明を簡潔化</x:v>
      </x:c>
      <x:c r="C93" t="str">
        <x:v>固定10問の指示・見出し・解説から説明の重複を削り、使う中心内容と材料、言い換え可を短い自然文で伝える形式へ統一した。Claude生成・入力検査・独立品質審査も同じ簡潔な形式に更新し、短くても材料の採否が曖昧な問題は拒否する。</x:v>
      </x:c>
      <x:c r="D93" t="str">
        <x:v>CUR-011 / AI-008 / QA-001 / OPS-002</x:v>
      </x:c>
      <x:c r="E93"/>
      <x:c r="F93" t="str">
        <x:v>18ファイル185テスト、型検査0エラー・0警告、製品ビルド成功。Supabase problem-generationとCloudflare Version eae4202e-ef18-4606-9c6f-ed577b9d9cffへ公開。トップ・課題一覧HTTP 200。公開画面と実Claude生成品質は要確認。</x:v>
      </x:c>
    </x:row>
    <x:row r="94">
      <x:c r="A94" s="55" t="n">
        <x:v>46279</x:v>
      </x:c>
      <x:c r="B94" t="str">
        <x:v>進級テスト開始直後の入力ロックを修正</x:v>
      </x:c>
      <x:c r="C94" t="str">
        <x:v>提出後の「次の問題へ」が、次問をDBで発行する前に画面だけ切り替えていたため、進級テスト開始直後は発行済み判定を満たさず入力がロックされていた。次問発行、状態再取得、発行済み確認、画面遷移の順に変更し、通常訓練・進級テスト・不合格後の次問へ共通適用した。</x:v>
      </x:c>
      <x:c r="D94" t="str">
        <x:v>APP-012 / QA-001・008 / OPS-002</x:v>
      </x:c>
      <x:c r="E94"/>
      <x:c r="F94" t="str">
        <x:v>関連4ファイル66テスト、全18ファイル186テスト、型検査0エラー・0警告、製品ビルド成功。Cloudflare Version d2f586f2-2e67-4e7e-abfb-9cf79bd2b46bへ公開し、トップ・課題一覧HTTP 200。認証済み実画面での進級テスト連続操作は要確認。</x:v>
      </x:c>
    </x:row>
    <x:row r="95">
      <x:c r="A95" s="55" t="n">
        <x:v>46280</x:v>
      </x:c>
      <x:c r="B95" t="str">
        <x:v>提出結果の自動遷移競合を修正</x:v>
      </x:c>
      <x:c r="C95" t="str">
        <x:v>STEP 2の要修正後合格で、進捗更新による自動遷移が結果画面より先に動き、解説を飛ばしてSTEP 3へ進む競合を修正した。保存済み結果の表示待ちを明示し、修正または次問を選ぶまで全段階で結果を復元する。添削コメント1〜5件を画面・DBの両方で必須にした。</x:v>
      </x:c>
      <x:c r="D95" t="str">
        <x:v>APP-007・012 / DB-004 / QA-008 / OPS-002</x:v>
      </x:c>
      <x:c r="E95"/>
      <x:c r="F95" t="str">
        <x:v>関連6ファイル73テスト、全18ファイル190テスト、型検査0エラー・0警告、製品ビルド成功。migration 202609150001をSupabaseへ適用。Cloudflare Version 21a2dec9-ff4e-42a6-b376-a1e8f1e6d6bcへ公開し、トップ・課題一覧HTTP 200。認証済み実画面でのSTEP 2再提出合格と代表経路は要確認。</x:v>
      </x:c>
    </x:row>
  </x:sheetData>
  <x:mergeCells>
    <x:mergeCell ref="A1:F1"/>
  </x:mergeCells>
  <x:pageMargins left="0.7" right="0.7" top="0.75" bottom="0.75" header="0.3" footer="0.3"/>
  <x:tableParts count="1">
    <x:tablePart xmlns:r="http://schemas.openxmlformats.org/officeDocument/2006/relationships" r:id="Rd4c2d05d4c5740e8"/>
  </x:tableParts>
</x:worksheet>
</file>