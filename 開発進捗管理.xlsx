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7fe0c042f349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進捗サマリー" sheetId="1" r:id="R64a2ec512f4a4a3e"/>
    <x:sheet xmlns:r="http://schemas.openxmlformats.org/officeDocument/2006/relationships" name="実装タスク" sheetId="2" r:id="R49e22ad724c144f9"/>
    <x:sheet xmlns:r="http://schemas.openxmlformats.org/officeDocument/2006/relationships" name="更新履歴" sheetId="5" r:id="R0b744990c17140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%"/>
    <x:numFmt numFmtId="201" formatCode="yyyy-mm-dd"/>
    <x:numFmt numFmtId="202" formatCode="yyyy/m/d"/>
    <x:numFmt numFmtId="203" formatCode="0"/>
    <x:numFmt numFmtId="204" formatCode="0 &quot;日&quot;"/>
    <x:numFmt numFmtId="205" formatCode="0 &quot;件&quot;"/>
    <x:numFmt numFmtId="206" formatCode="0.0 &quot;時間&quot;"/>
    <x:numFmt numFmtId="207" formatCode="m/d"/>
    <x:numFmt numFmtId="208" formatCode="#,##0"/>
  </x:numFmts>
  <x:fonts count="32">
    <x:font>
      <x:sz val="11"/>
      <x:name val="Carlito"/>
    </x:font>
    <x:font>
      <x:b/>
      <x:sz val="20"/>
      <x:color rgb="FFFFFFFF"/>
      <x:name val="Carlito"/>
    </x:font>
    <x:font>
      <x:sz val="11"/>
      <x:color rgb="FF23313D"/>
      <x:name val="Carlito"/>
    </x:font>
    <x:font>
      <x:b/>
      <x:sz val="11"/>
      <x:color rgb="FFFFFFFF"/>
      <x:name val="Carlito"/>
    </x:font>
    <x:font>
      <x:b/>
      <x:sz val="16"/>
      <x:color rgb="FF17324D"/>
      <x:name val="Carlito"/>
    </x:font>
    <x:font>
      <x:b/>
      <x:sz val="11"/>
      <x:color rgb="FF17324D"/>
      <x:name val="Carlito"/>
    </x:font>
    <x:font>
      <x:b/>
      <x:sz val="11"/>
      <x:color rgb="FF6B4D00"/>
      <x:name val="Carlito"/>
    </x:font>
    <x:font>
      <x:i/>
      <x:sz val="11"/>
      <x:color rgb="FF5D6B76"/>
      <x:name val="Carlito"/>
    </x:font>
    <x:font>
      <x:b/>
      <x:sz val="18"/>
      <x:color rgb="FFFFFFFF"/>
      <x:name val="Carlito"/>
    </x:font>
    <x:font>
      <x:sz val="11"/>
      <x:color rgb="FF6B4D00"/>
      <x:name val="Carlito"/>
    </x:font>
    <x:font>
      <x:sz val="14"/>
      <x:color rgb="FF1F6F78"/>
      <x:name val="Carlito"/>
    </x:font>
    <x:font>
      <x:b/>
      <x:sz val="11"/>
      <x:color rgb="FF065F46"/>
      <x:name val="Carlito"/>
    </x:font>
    <x:font>
      <x:sz val="10"/>
      <x:color rgb="FF334155"/>
      <x:name val="Carlito"/>
    </x:font>
    <x:font>
      <x:b/>
      <x:sz val="16"/>
      <x:color rgb="FF92400E"/>
      <x:name val="Carlito"/>
    </x:font>
    <x:font>
      <x:b/>
      <x:sz val="14"/>
      <x:color rgb="FF115E59"/>
      <x:name val="Carlito"/>
    </x:font>
    <x:font>
      <x:b/>
      <x:sz val="9"/>
      <x:color rgb="FF475569"/>
      <x:name val="Carlito"/>
    </x:font>
    <x:font>
      <x:sz val="9"/>
      <x:color rgb="FF475569"/>
      <x:name val="Carlito"/>
    </x:font>
    <x:font>
      <x:sz val="6"/>
      <x:color rgb="FFEBEDF0"/>
      <x:name val="Carlito"/>
    </x:font>
    <x:font>
      <x:sz val="6"/>
      <x:color rgb="FF9BE9A8"/>
      <x:name val="Carlito"/>
    </x:font>
    <x:font>
      <x:sz val="6"/>
      <x:color rgb="FF40C463"/>
      <x:name val="Carlito"/>
    </x:font>
    <x:font>
      <x:sz val="6"/>
      <x:color rgb="FF30A14E"/>
      <x:name val="Carlito"/>
    </x:font>
    <x:font>
      <x:sz val="6"/>
      <x:color rgb="FF216E39"/>
      <x:name val="Carlito"/>
    </x:font>
    <x:font>
      <x:sz val="9"/>
      <x:color rgb="FF64748B"/>
      <x:name val="Carlito"/>
    </x:font>
    <x:font>
      <x:b/>
      <x:sz val="9"/>
      <x:color rgb="FF64748B"/>
      <x:name val="Carlito"/>
    </x:font>
    <x:font>
      <x:sz val="7"/>
      <x:color rgb="FF94A3B8"/>
      <x:name val="Carlito"/>
    </x:font>
    <x:font>
      <x:sz val="10"/>
      <x:color rgb="FF35505B"/>
      <x:name val="Carlito"/>
    </x:font>
    <x:font>
      <x:b/>
      <x:sz val="12"/>
      <x:color rgb="FFFFFFFF"/>
      <x:name val="Carlito"/>
    </x:font>
    <x:font>
      <x:b/>
      <x:sz val="16"/>
      <x:color rgb="FF173B5B"/>
      <x:name val="Carlito"/>
    </x:font>
    <x:font>
      <x:b/>
      <x:sz val="10"/>
      <x:color rgb="FF805C12"/>
      <x:name val="Carlito"/>
    </x:font>
    <x:font>
      <x:b/>
      <x:sz val="10"/>
      <x:color rgb="FF16715F"/>
      <x:name val="Carlito"/>
    </x:font>
    <x:font>
      <x:i/>
      <x:sz val="10"/>
      <x:color rgb="FF6C7A80"/>
      <x:name val="Carlito"/>
    </x:font>
    <x:font>
      <x:b/>
      <x:sz val="10"/>
      <x:color rgb="FFFFFFFF"/>
      <x:name val="Carlito"/>
    </x:font>
  </x:fonts>
  <x:fills count="3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1F6F78"/>
      </x:patternFill>
    </x:fill>
    <x:fill>
      <x:patternFill patternType="solid">
        <x:fgColor rgb="FFF8FBFC"/>
      </x:patternFill>
    </x:fill>
    <x:fill>
      <x:patternFill patternType="solid">
        <x:fgColor rgb="FFF4F6F8"/>
      </x:patternFill>
    </x:fill>
    <x:fill>
      <x:patternFill patternType="solid">
        <x:fgColor rgb="FFFFF4D6"/>
      </x:patternFill>
    </x:fill>
    <x:fill>
      <x:patternFill patternType="solid">
        <x:fgColor rgb="FFFFFDF2"/>
      </x:patternFill>
    </x:fill>
    <x:fill>
      <x:patternFill patternType="solid">
        <x:fgColor rgb="FF0F766E"/>
      </x:patternFill>
    </x:fill>
    <x:fill>
      <x:patternFill patternType="solid">
        <x:fgColor rgb="FFFFF7CC"/>
      </x:patternFill>
    </x:fill>
    <x:fill>
      <x:patternFill patternType="solid">
        <x:fgColor rgb="FFECFDF5"/>
      </x:patternFill>
    </x:fill>
    <x:fill>
      <x:patternFill patternType="solid">
        <x:fgColor rgb="FF0B1F3A"/>
      </x:patternFill>
    </x:fill>
    <x:fill>
      <x:patternFill patternType="solid">
        <x:fgColor rgb="FFE8F1F8"/>
      </x:patternFill>
    </x:fill>
    <x:fill>
      <x:patternFill patternType="solid">
        <x:fgColor rgb="FFF0FDFA"/>
      </x:patternFill>
    </x:fill>
    <x:fill>
      <x:patternFill patternType="solid">
        <x:fgColor rgb="FFEBEDF0"/>
      </x:patternFill>
    </x:fill>
    <x:fill>
      <x:patternFill patternType="solid">
        <x:fgColor rgb="FF9BE9A8"/>
      </x:patternFill>
    </x:fill>
    <x:fill>
      <x:patternFill patternType="solid">
        <x:fgColor rgb="FF40C463"/>
      </x:patternFill>
    </x:fill>
    <x:fill>
      <x:patternFill patternType="solid">
        <x:fgColor rgb="FF30A14E"/>
      </x:patternFill>
    </x:fill>
    <x:fill>
      <x:patternFill patternType="solid">
        <x:fgColor rgb="FF216E39"/>
      </x:patternFill>
    </x:fill>
    <x:fill>
      <x:patternFill patternType="solid">
        <x:fgColor rgb="FFF1F5F9"/>
      </x:patternFill>
    </x:fill>
    <x:fill>
      <x:patternFill patternType="solid">
        <x:fgColor rgb="FFF8FAFC"/>
      </x:patternFill>
    </x:fill>
    <x:fill>
      <x:patternFill patternType="solid">
        <x:fgColor rgb="FFFFF7CC"/>
      </x:patternFill>
    </x:fill>
    <x:fill>
      <x:patternFill patternType="solid">
        <x:fgColor rgb="FFFFF7CC"/>
      </x:patternFill>
    </x:fill>
    <x:fill>
      <x:patternFill patternType="solid">
        <x:fgColor rgb="FF173B5B"/>
      </x:patternFill>
    </x:fill>
    <x:fill>
      <x:patternFill patternType="solid">
        <x:fgColor rgb="FFE8F2F5"/>
      </x:patternFill>
    </x:fill>
    <x:fill>
      <x:patternFill patternType="solid">
        <x:fgColor rgb="FF277B82"/>
      </x:patternFill>
    </x:fill>
    <x:fill>
      <x:patternFill patternType="solid">
        <x:fgColor rgb="FFFFFFFF"/>
      </x:patternFill>
    </x:fill>
    <x:fill>
      <x:patternFill patternType="solid">
        <x:fgColor rgb="FFFFF3CF"/>
      </x:patternFill>
    </x:fill>
    <x:fill>
      <x:patternFill patternType="solid">
        <x:fgColor rgb="FFE8F8F2"/>
      </x:patternFill>
    </x:fill>
    <x:fill>
      <x:patternFill patternType="solid">
        <x:fgColor rgb="FF173B5B"/>
      </x:patternFill>
    </x:fill>
    <x:fill>
      <x:patternFill patternType="solid">
        <x:fgColor rgb="FF277B82"/>
      </x:patternFill>
    </x:fill>
    <x:fill>
      <x:patternFill patternType="solid">
        <x:fgColor rgb="FFF3F8FA"/>
      </x:patternFill>
    </x:fill>
    <x:fill>
      <x:patternFill patternType="solid">
        <x:fgColor rgb="FFB9E3F3"/>
      </x:patternFill>
    </x:fill>
  </x:fills>
  <x:borders count="10">
    <x:border/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bottom style="thin">
        <x:color rgb="FFD5DEE5"/>
      </x:bottom>
    </x:border>
    <x:border>
      <x:top style="thin">
        <x:color rgb="FFD5DEE5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59BDE8"/>
      </x:left>
      <x:top style="thin">
        <x:color rgb="FF59BDE8"/>
      </x:top>
      <x:bottom style="thin">
        <x:color rgb="FF59BDE8"/>
      </x:bottom>
    </x:border>
    <x:border>
      <x:top style="thin">
        <x:color rgb="FF59BDE8"/>
      </x:top>
      <x:bottom style="thin">
        <x:color rgb="FF59BDE8"/>
      </x:bottom>
    </x:border>
    <x:border>
      <x:right style="thin">
        <x:color rgb="FF59BDE8"/>
      </x:right>
      <x:top style="thin">
        <x:color rgb="FF59BDE8"/>
      </x:top>
      <x:bottom style="thin">
        <x:color rgb="FF59BDE8"/>
      </x:bottom>
    </x:border>
  </x:borders>
  <x:cellStyleXfs count="1">
    <x:xf numFmtId="0" fontId="0" fillId="0" borderId="0"/>
  </x:cellStyleXfs>
  <x:cellXfs count="2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200" fontId="4" fillId="5" borderId="2" xfId="0" applyNumberFormat="1" applyFont="1" applyFill="1" applyBorder="1"/>
    <x:xf numFmtId="20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200" fontId="4" fillId="5" borderId="2" xfId="0" applyNumberFormat="1" applyFont="1" applyFill="1" applyBorder="1" applyAlignment="1">
      <x:alignment horizontal="center"/>
    </x:xf>
    <x:xf numFmtId="200" fontId="4" fillId="5" borderId="3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200" fontId="0" fillId="0" borderId="4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horizontal="center" vertical="center"/>
    </x:xf>
    <x:xf numFmtId="200" fontId="0" fillId="0" borderId="4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horizontal="center" vertical="center"/>
    </x:xf>
    <x:xf numFmtId="0" fontId="0" fillId="6" borderId="4" xfId="0" applyNumberFormat="1" applyFont="1" applyFill="1" applyBorder="1" applyAlignment="1">
      <x:alignment vertical="center"/>
    </x:xf>
    <x:xf numFmtId="0" fontId="0" fillId="6" borderId="2" xfId="0" applyNumberFormat="1" applyFont="1" applyFill="1" applyBorder="1" applyAlignment="1">
      <x:alignment vertical="center"/>
    </x:xf>
    <x:xf numFmtId="0" fontId="0" fillId="6" borderId="4" xfId="0" applyNumberFormat="1" applyFont="1" applyFill="1" applyBorder="1" applyAlignment="1">
      <x:alignment vertical="center" wrapText="1"/>
    </x:xf>
    <x:xf numFmtId="0" fontId="0" fillId="6" borderId="2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4" xfId="0" applyNumberFormat="1" applyFont="1" applyFill="1" applyBorder="1"/>
    <x:xf numFmtId="201" fontId="0" fillId="0" borderId="2" xfId="0" applyNumberFormat="1" applyFont="1" applyFill="1" applyBorder="1"/>
    <x:xf numFmtId="0" fontId="0" fillId="0" borderId="5" xfId="0" applyNumberFormat="1" applyFont="1" applyFill="1" applyBorder="1"/>
    <x:xf numFmtId="201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vertical="top"/>
    </x:xf>
    <x:xf numFmtId="201" fontId="0" fillId="0" borderId="4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201" fontId="0" fillId="0" borderId="2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0" fontId="10" fillId="0" borderId="4" xfId="0" applyNumberFormat="1" applyFont="1" applyFill="1" applyBorder="1" applyAlignment="1">
      <x:alignment vertical="top"/>
    </x:xf>
    <x:xf numFmtId="0" fontId="10" fillId="0" borderId="2" xfId="0" applyNumberFormat="1" applyFont="1" applyFill="1" applyBorder="1" applyAlignment="1">
      <x:alignment vertical="top"/>
    </x:xf>
    <x:xf numFmtId="0" fontId="10" fillId="0" borderId="5" xfId="0" applyNumberFormat="1" applyFont="1" applyFill="1" applyBorder="1" applyAlignment="1">
      <x:alignment vertical="top"/>
    </x:xf>
    <x:xf numFmtId="0" fontId="10" fillId="0" borderId="4" xfId="0" applyNumberFormat="1" applyFont="1" applyFill="1" applyBorder="1" applyAlignment="1">
      <x:alignment horizontal="center" vertical="top"/>
    </x:xf>
    <x:xf numFmtId="0" fontId="10" fillId="0" borderId="2" xfId="0" applyNumberFormat="1" applyFont="1" applyFill="1" applyBorder="1" applyAlignment="1">
      <x:alignment horizontal="center" vertical="top"/>
    </x:xf>
    <x:xf numFmtId="0" fontId="10" fillId="0" borderId="5" xfId="0" applyNumberFormat="1" applyFont="1" applyFill="1" applyBorder="1" applyAlignment="1">
      <x:alignment horizontal="center" vertical="top"/>
    </x:xf>
    <x:xf numFmtId="0" fontId="0" fillId="0" borderId="4" xfId="0" applyNumberFormat="1" applyFont="1" applyFill="1" applyBorder="1" applyAlignment="1">
      <x:alignment horizontal="center" vertical="top"/>
    </x:xf>
    <x:xf numFmtId="0" fontId="0" fillId="0" borderId="2" xfId="0" applyNumberFormat="1" applyFont="1" applyFill="1" applyBorder="1" applyAlignment="1">
      <x:alignment horizontal="center" vertical="top"/>
    </x:xf>
    <x:xf numFmtId="0" fontId="0" fillId="0" borderId="5" xfId="0" applyNumberFormat="1" applyFont="1" applyFill="1" applyBorder="1" applyAlignment="1">
      <x:alignment horizontal="center" vertical="top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8" borderId="4" xfId="0" applyNumberFormat="1" applyFont="1" applyFill="1" applyBorder="1" applyAlignment="1">
      <x:alignment horizontal="center" vertical="top" wrapText="1"/>
    </x:xf>
    <x:xf numFmtId="0" fontId="0" fillId="8" borderId="4" xfId="0" applyNumberFormat="1" applyFont="1" applyFill="1" applyBorder="1" applyAlignment="1">
      <x:alignment vertical="top" wrapText="1"/>
    </x:xf>
    <x:xf numFmtId="0" fontId="0" fillId="8" borderId="2" xfId="0" applyNumberFormat="1" applyFont="1" applyFill="1" applyBorder="1" applyAlignment="1">
      <x:alignment horizontal="center" vertical="top" wrapText="1"/>
    </x:xf>
    <x:xf numFmtId="0" fontId="0" fillId="8" borderId="2" xfId="0" applyNumberFormat="1" applyFont="1" applyFill="1" applyBorder="1" applyAlignment="1">
      <x:alignment vertical="top" wrapText="1"/>
    </x:xf>
    <x:xf numFmtId="0" fontId="0" fillId="8" borderId="5" xfId="0" applyNumberFormat="1" applyFont="1" applyFill="1" applyBorder="1" applyAlignment="1">
      <x:alignment horizontal="center" vertical="top" wrapText="1"/>
    </x:xf>
    <x:xf numFmtId="0" fontId="0" fillId="8" borderId="5" xfId="0" applyNumberFormat="1" applyFont="1" applyFill="1" applyBorder="1" applyAlignment="1">
      <x:alignment vertical="top" wrapText="1"/>
    </x:xf>
    <x:xf numFmtId="201" fontId="0" fillId="8" borderId="4" xfId="0" applyNumberFormat="1" applyFont="1" applyFill="1" applyBorder="1" applyAlignment="1">
      <x:alignment vertical="top"/>
    </x:xf>
    <x:xf numFmtId="201" fontId="0" fillId="8" borderId="2" xfId="0" applyNumberFormat="1" applyFont="1" applyFill="1" applyBorder="1" applyAlignment="1">
      <x:alignment vertical="top"/>
    </x:xf>
    <x:xf numFmtId="201" fontId="0" fillId="8" borderId="5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vertical="top" wrapText="1"/>
    </x:xf>
    <x:xf numFmtId="202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203" fontId="0" fillId="10" borderId="0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horizontal="left" wrapText="1"/>
    </x:xf>
    <x:xf numFmtId="0" fontId="11" fillId="11" borderId="0" xfId="0" applyNumberFormat="1" applyFont="1" applyFill="1" applyBorder="1" applyAlignment="1">
      <x:alignment horizontal="left"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left"/>
    </x:xf>
    <x:xf numFmtId="0" fontId="8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2" fillId="13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3" fillId="10" borderId="0" xfId="0" applyNumberFormat="1" applyFont="1" applyFill="1" applyBorder="1"/>
    <x:xf numFmtId="0" fontId="13" fillId="10" borderId="0" xfId="0" applyNumberFormat="1" applyFont="1" applyFill="1" applyBorder="1" applyAlignment="1">
      <x:alignment horizontal="center"/>
    </x:xf>
    <x:xf numFmtId="0" fontId="13" fillId="10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horizontal="center"/>
    </x:xf>
    <x:xf numFmtId="0" fontId="3" fillId="9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4" fillId="14" borderId="0" xfId="0" applyNumberFormat="1" applyFont="1" applyFill="1" applyBorder="1"/>
    <x:xf numFmtId="204" fontId="14" fillId="14" borderId="0" xfId="0" applyNumberFormat="1" applyFont="1" applyFill="1" applyBorder="1"/>
    <x:xf numFmtId="204" fontId="14" fillId="14" borderId="0" xfId="0" applyNumberFormat="1" applyFont="1" applyFill="1" applyBorder="1" applyAlignment="1">
      <x:alignment horizontal="center"/>
    </x:xf>
    <x:xf numFmtId="204" fontId="14" fillId="14" borderId="0" xfId="0" applyNumberFormat="1" applyFont="1" applyFill="1" applyBorder="1" applyAlignment="1">
      <x:alignment horizontal="center" vertical="center"/>
    </x:xf>
    <x:xf numFmtId="205" fontId="14" fillId="14" borderId="0" xfId="0" applyNumberFormat="1" applyFont="1" applyFill="1" applyBorder="1"/>
    <x:xf numFmtId="205" fontId="14" fillId="14" borderId="0" xfId="0" applyNumberFormat="1" applyFont="1" applyFill="1" applyBorder="1" applyAlignment="1">
      <x:alignment horizontal="center"/>
    </x:xf>
    <x:xf numFmtId="205" fontId="14" fillId="14" borderId="0" xfId="0" applyNumberFormat="1" applyFont="1" applyFill="1" applyBorder="1" applyAlignment="1">
      <x:alignment horizontal="center" vertical="center"/>
    </x:xf>
    <x:xf numFmtId="206" fontId="14" fillId="14" borderId="0" xfId="0" applyNumberFormat="1" applyFont="1" applyFill="1" applyBorder="1"/>
    <x:xf numFmtId="206" fontId="14" fillId="14" borderId="0" xfId="0" applyNumberFormat="1" applyFont="1" applyFill="1" applyBorder="1" applyAlignment="1">
      <x:alignment horizontal="center"/>
    </x:xf>
    <x:xf numFmtId="206" fontId="14" fillId="14" borderId="0" xfId="0" applyNumberFormat="1" applyFont="1" applyFill="1" applyBorder="1" applyAlignment="1">
      <x:alignment horizontal="center"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 applyAlignment="1">
      <x:alignment horizontal="right" vertical="center"/>
    </x:xf>
    <x:xf numFmtId="207" fontId="0" fillId="0" borderId="0" xfId="0" applyNumberFormat="1" applyFont="1" applyFill="1" applyBorder="1"/>
    <x:xf numFmtId="0" fontId="0" fillId="15" borderId="0" xfId="0" applyNumberFormat="1" applyFont="1" applyFill="1" applyBorder="1"/>
    <x:xf numFmtId="0" fontId="17" fillId="15" borderId="0" xfId="0" applyNumberFormat="1" applyFont="1" applyFill="1" applyBorder="1"/>
    <x:xf numFmtId="0" fontId="17" fillId="15" borderId="0" xfId="0" applyNumberFormat="1" applyFont="1" applyFill="1" applyBorder="1" applyAlignment="1">
      <x:alignment horizontal="center"/>
    </x:xf>
    <x:xf numFmtId="0" fontId="17" fillId="15" borderId="0" xfId="0" applyNumberFormat="1" applyFont="1" applyFill="1" applyBorder="1" applyAlignment="1">
      <x:alignment horizontal="center" vertical="center"/>
    </x:xf>
    <x:xf numFmtId="0" fontId="17" fillId="15" borderId="6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18" fillId="16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21" fillId="19" borderId="0" xfId="0" applyNumberFormat="1" applyFont="1" applyFill="1" applyBorder="1"/>
    <x:xf numFmtId="0" fontId="21" fillId="19" borderId="0" xfId="0" applyNumberFormat="1" applyFont="1" applyFill="1" applyBorder="1" applyAlignment="1">
      <x:alignment horizontal="center"/>
    </x:xf>
    <x:xf numFmtId="0" fontId="22" fillId="0" borderId="0" xfId="0" applyNumberFormat="1" applyFont="1" applyFill="1" applyBorder="1"/>
    <x:xf numFmtId="0" fontId="22" fillId="15" borderId="0" xfId="0" applyNumberFormat="1" applyFont="1" applyFill="1" applyBorder="1" applyAlignment="1">
      <x:alignment horizontal="center"/>
    </x:xf>
    <x:xf numFmtId="0" fontId="22" fillId="16" borderId="0" xfId="0" applyNumberFormat="1" applyFont="1" applyFill="1" applyBorder="1" applyAlignment="1">
      <x:alignment horizontal="center"/>
    </x:xf>
    <x:xf numFmtId="0" fontId="22" fillId="17" borderId="0" xfId="0" applyNumberFormat="1" applyFont="1" applyFill="1" applyBorder="1" applyAlignment="1">
      <x:alignment horizontal="center"/>
    </x:xf>
    <x:xf numFmtId="0" fontId="22" fillId="18" borderId="0" xfId="0" applyNumberFormat="1" applyFont="1" applyFill="1" applyBorder="1" applyAlignment="1">
      <x:alignment horizontal="center"/>
    </x:xf>
    <x:xf numFmtId="0" fontId="22" fillId="19" borderId="0" xfId="0" applyNumberFormat="1" applyFont="1" applyFill="1" applyBorder="1" applyAlignment="1">
      <x:alignment horizontal="center"/>
    </x:xf>
    <x:xf numFmtId="0" fontId="0" fillId="20" borderId="0" xfId="0" applyNumberFormat="1" applyFont="1" applyFill="1" applyBorder="1"/>
    <x:xf numFmtId="0" fontId="23" fillId="20" borderId="0" xfId="0" applyNumberFormat="1" applyFont="1" applyFill="1" applyBorder="1"/>
    <x:xf numFmtId="0" fontId="0" fillId="21" borderId="0" xfId="0" applyNumberFormat="1" applyFont="1" applyFill="1" applyBorder="1"/>
    <x:xf numFmtId="207" fontId="0" fillId="21" borderId="0" xfId="0" applyNumberFormat="1" applyFont="1" applyFill="1" applyBorder="1"/>
    <x:xf numFmtId="0" fontId="24" fillId="21" borderId="0" xfId="0" applyNumberFormat="1" applyFont="1" applyFill="1" applyBorder="1"/>
    <x:xf numFmtId="207" fontId="24" fillId="21" borderId="0" xfId="0" applyNumberFormat="1" applyFont="1" applyFill="1" applyBorder="1"/>
    <x:xf numFmtId="0" fontId="24" fillId="21" borderId="0" xfId="0" applyNumberFormat="1" applyFont="1" applyFill="1" applyBorder="1" applyAlignment="1">
      <x:alignment horizontal="center"/>
    </x:xf>
    <x:xf numFmtId="207" fontId="24" fillId="21" borderId="0" xfId="0" applyNumberFormat="1" applyFont="1" applyFill="1" applyBorder="1" applyAlignment="1">
      <x:alignment horizontal="center"/>
    </x:xf>
    <x:xf numFmtId="0" fontId="24" fillId="21" borderId="0" xfId="0" applyNumberFormat="1" applyFont="1" applyFill="1" applyBorder="1" applyAlignment="1">
      <x:alignment horizontal="center" vertical="center"/>
    </x:xf>
    <x:xf numFmtId="207" fontId="24" fillId="21" borderId="0" xfId="0" applyNumberFormat="1" applyFont="1" applyFill="1" applyBorder="1" applyAlignment="1">
      <x:alignment horizontal="center" vertical="center"/>
    </x:xf>
    <x:xf numFmtId="203" fontId="0" fillId="22" borderId="0" xfId="0" applyNumberFormat="1" applyFont="1" applyFill="1" applyBorder="1"/>
    <x:xf numFmtId="0" fontId="0" fillId="22" borderId="0" xfId="0" applyNumberFormat="1" applyFont="1" applyFill="1" applyBorder="1"/>
    <x:xf numFmtId="202" fontId="0" fillId="8" borderId="2" xfId="0" applyNumberFormat="1" applyFont="1" applyFill="1" applyBorder="1" applyAlignment="1">
      <x:alignment vertical="top"/>
    </x:xf>
    <x:xf numFmtId="203" fontId="0" fillId="23" borderId="0" xfId="0" applyNumberFormat="1" applyFont="1" applyFill="1" applyBorder="1"/>
    <x:xf numFmtId="0" fontId="0" fillId="23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0" fontId="2" fillId="25" borderId="0" xfId="0" applyNumberFormat="1" applyFont="1" applyFill="1" applyBorder="1" applyAlignment="1">
      <x:alignment wrapText="1"/>
    </x:xf>
    <x:xf numFmtId="0" fontId="25" fillId="25" borderId="0" xfId="0" applyNumberFormat="1" applyFont="1" applyFill="1" applyBorder="1" applyAlignment="1">
      <x:alignment wrapText="1"/>
    </x:xf>
    <x:xf numFmtId="0" fontId="25" fillId="25" borderId="0" xfId="0" applyNumberFormat="1" applyFont="1" applyFill="1" applyBorder="1" applyAlignment="1">
      <x:alignment vertical="center" wrapText="1"/>
    </x:xf>
    <x:xf numFmtId="0" fontId="3" fillId="26" borderId="0" xfId="0" applyNumberFormat="1" applyFont="1" applyFill="1" applyBorder="1" applyAlignment="1">
      <x:alignment horizontal="center"/>
    </x:xf>
    <x:xf numFmtId="0" fontId="26" fillId="26" borderId="0" xfId="0" applyNumberFormat="1" applyFont="1" applyFill="1" applyBorder="1" applyAlignment="1">
      <x:alignment horizontal="center"/>
    </x:xf>
    <x:xf numFmtId="0" fontId="26" fillId="26" borderId="0" xfId="0" applyNumberFormat="1" applyFont="1" applyFill="1" applyBorder="1" applyAlignment="1">
      <x:alignment horizontal="center" vertical="center"/>
    </x:xf>
    <x:xf numFmtId="0" fontId="4" fillId="27" borderId="1" xfId="0" applyNumberFormat="1" applyFont="1" applyFill="1" applyBorder="1" applyAlignment="1">
      <x:alignment horizontal="center"/>
    </x:xf>
    <x:xf numFmtId="0" fontId="4" fillId="27" borderId="2" xfId="0" applyNumberFormat="1" applyFont="1" applyFill="1" applyBorder="1" applyAlignment="1">
      <x:alignment horizontal="center"/>
    </x:xf>
    <x:xf numFmtId="200" fontId="4" fillId="27" borderId="2" xfId="0" applyNumberFormat="1" applyFont="1" applyFill="1" applyBorder="1" applyAlignment="1">
      <x:alignment horizontal="center"/>
    </x:xf>
    <x:xf numFmtId="0" fontId="27" fillId="27" borderId="1" xfId="0" applyNumberFormat="1" applyFont="1" applyFill="1" applyBorder="1" applyAlignment="1">
      <x:alignment horizontal="center"/>
    </x:xf>
    <x:xf numFmtId="0" fontId="27" fillId="27" borderId="2" xfId="0" applyNumberFormat="1" applyFont="1" applyFill="1" applyBorder="1" applyAlignment="1">
      <x:alignment horizontal="center"/>
    </x:xf>
    <x:xf numFmtId="200" fontId="27" fillId="27" borderId="2" xfId="0" applyNumberFormat="1" applyFont="1" applyFill="1" applyBorder="1" applyAlignment="1">
      <x:alignment horizontal="center"/>
    </x:xf>
    <x:xf numFmtId="0" fontId="27" fillId="27" borderId="1" xfId="0" applyNumberFormat="1" applyFont="1" applyFill="1" applyBorder="1" applyAlignment="1">
      <x:alignment horizontal="center" vertical="center"/>
    </x:xf>
    <x:xf numFmtId="0" fontId="27" fillId="27" borderId="2" xfId="0" applyNumberFormat="1" applyFont="1" applyFill="1" applyBorder="1" applyAlignment="1">
      <x:alignment horizontal="center" vertical="center"/>
    </x:xf>
    <x:xf numFmtId="200" fontId="27" fillId="27" borderId="2" xfId="0" applyNumberFormat="1" applyFont="1" applyFill="1" applyBorder="1" applyAlignment="1">
      <x:alignment horizontal="center" vertical="center"/>
    </x:xf>
    <x:xf numFmtId="0" fontId="6" fillId="28" borderId="0" xfId="0" applyNumberFormat="1" applyFont="1" applyFill="1" applyBorder="1" applyAlignment="1">
      <x:alignment wrapText="1"/>
    </x:xf>
    <x:xf numFmtId="0" fontId="28" fillId="28" borderId="0" xfId="0" applyNumberFormat="1" applyFont="1" applyFill="1" applyBorder="1" applyAlignment="1">
      <x:alignment wrapText="1"/>
    </x:xf>
    <x:xf numFmtId="0" fontId="28" fillId="28" borderId="0" xfId="0" applyNumberFormat="1" applyFont="1" applyFill="1" applyBorder="1" applyAlignment="1">
      <x:alignment vertical="center" wrapText="1"/>
    </x:xf>
    <x:xf numFmtId="0" fontId="11" fillId="29" borderId="0" xfId="0" applyNumberFormat="1" applyFont="1" applyFill="1" applyBorder="1" applyAlignment="1">
      <x:alignment horizontal="left" vertical="center" wrapText="1"/>
    </x:xf>
    <x:xf numFmtId="0" fontId="29" fillId="29" borderId="0" xfId="0" applyNumberFormat="1" applyFont="1" applyFill="1" applyBorder="1" applyAlignment="1">
      <x:alignment horizontal="left" vertical="center" wrapText="1"/>
    </x:xf>
    <x:xf numFmtId="0" fontId="7" fillId="27" borderId="0" xfId="0" applyNumberFormat="1" applyFont="1" applyFill="1" applyBorder="1"/>
    <x:xf numFmtId="0" fontId="30" fillId="27" borderId="0" xfId="0" applyNumberFormat="1" applyFont="1" applyFill="1" applyBorder="1"/>
    <x:xf numFmtId="0" fontId="30" fillId="27" borderId="0" xfId="0" applyNumberFormat="1" applyFont="1" applyFill="1" applyBorder="1" applyAlignment="1">
      <x:alignment vertical="center"/>
    </x:xf>
    <x:xf numFmtId="208" fontId="27" fillId="27" borderId="1" xfId="0" applyNumberFormat="1" applyFont="1" applyFill="1" applyBorder="1" applyAlignment="1">
      <x:alignment horizontal="center" vertical="center"/>
    </x:xf>
    <x:xf fontId="27" fillId="27" borderId="2" xfId="0" applyNumberFormat="0" applyFont="1" applyFill="1" applyBorder="1" applyAlignment="1">
      <x:alignment horizontal="center" vertical="center"/>
    </x:xf>
    <x:xf numFmtId="208" fontId="27" fillId="27" borderId="2" xfId="0" applyNumberFormat="1" applyFont="1" applyFill="1" applyBorder="1" applyAlignment="1">
      <x:alignment horizontal="center" vertical="center"/>
    </x:xf>
    <x:xf numFmtId="0" fontId="0" fillId="30" borderId="0" xfId="0" applyNumberFormat="1" applyFont="1" applyFill="1" applyBorder="1"/>
    <x:xf numFmtId="0" fontId="8" fillId="30" borderId="0" xfId="0" applyNumberFormat="1" applyFont="1" applyFill="1" applyBorder="1"/>
    <x:xf numFmtId="0" fontId="0" fillId="31" borderId="0" xfId="0" applyNumberFormat="1" applyFont="1" applyFill="1" applyBorder="1"/>
    <x:xf numFmtId="0" fontId="31" fillId="31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2" fontId="0" fillId="32" borderId="0" xfId="0" applyNumberFormat="1" applyFont="1" applyFill="1" applyBorder="1" applyAlignment="1">
      <x:alignment vertical="top" wrapText="1"/>
    </x:xf>
    <x:xf numFmtId="0" fontId="0" fillId="3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0" fillId="33" borderId="0" xfId="0" applyNumberFormat="1" applyFont="1" applyFill="1" applyBorder="1" applyAlignment="1">
      <x:alignment wrapText="1"/>
    </x:xf>
    <x:xf numFmtId="0" fontId="0" fillId="33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 applyAlignment="1">
      <x:alignment horizontal="center" vertical="center" wrapText="1"/>
    </x:xf>
    <x:xf numFmtId="0" fontId="0" fillId="33" borderId="0" xfId="0" applyNumberFormat="1" applyFont="1" applyFill="1" applyBorder="1" applyAlignment="1">
      <x:alignment horizontal="left" vertical="center" wrapText="1"/>
    </x:xf>
    <x:xf numFmtId="202" fontId="0" fillId="33" borderId="0" xfId="0" applyNumberFormat="1" applyFont="1" applyFill="1" applyBorder="1" applyAlignment="1">
      <x:alignment horizontal="center" vertical="center" wrapText="1"/>
    </x:xf>
    <x:xf numFmtId="202" fontId="0" fillId="33" borderId="7" xfId="0" applyNumberFormat="1" applyFont="1" applyFill="1" applyBorder="1" applyAlignment="1">
      <x:alignment horizontal="center" vertical="center" wrapText="1"/>
    </x:xf>
    <x:xf numFmtId="0" fontId="0" fillId="33" borderId="8" xfId="0" applyNumberFormat="1" applyFont="1" applyFill="1" applyBorder="1" applyAlignment="1">
      <x:alignment horizontal="center" vertical="center" wrapText="1"/>
    </x:xf>
    <x:xf numFmtId="0" fontId="0" fillId="33" borderId="8" xfId="0" applyNumberFormat="1" applyFont="1" applyFill="1" applyBorder="1" applyAlignment="1">
      <x:alignment horizontal="left" vertical="center" wrapText="1"/>
    </x:xf>
    <x:xf numFmtId="0" fontId="0" fillId="33" borderId="9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left" vertical="center" wrapText="1"/>
    </x:xf>
    <x:xf numFmtId="202" fontId="0" fillId="0" borderId="0" xfId="0" applyNumberFormat="1" applyFont="1" applyFill="1" applyBorder="1" applyAlignment="1">
      <x:alignment horizontal="center" vertical="center" wrapText="1"/>
    </x:xf>
    <x:xf numFmtId="201" fontId="0" fillId="33" borderId="7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0">
    <x:dxf>
      <x:font>
        <x:b/>
        <x:color rgb="FF17603A"/>
      </x:font>
      <x:fill>
        <x:patternFill>
          <x:bgColor rgb="FFD8F3E5"/>
        </x:patternFill>
      </x:fill>
    </x:dxf>
    <x:dxf>
      <x:font>
        <x:b/>
        <x:color rgb="FF1C4D7A"/>
      </x:font>
      <x:fill>
        <x:patternFill>
          <x:bgColor rgb="FFDCEBFA"/>
        </x:patternFill>
      </x:fill>
    </x:dxf>
    <x:dxf>
      <x:font>
        <x:b/>
        <x:color rgb="FF7A5500"/>
      </x:font>
      <x:fill>
        <x:patternFill>
          <x:bgColor rgb="FFFFF0C2"/>
        </x:patternFill>
      </x:fill>
    </x:dxf>
    <x:dxf>
      <x:font>
        <x:color rgb="FF53616D"/>
      </x:font>
      <x:fill>
        <x:patternFill>
          <x:bgColor rgb="FFEEF1F4"/>
        </x:patternFill>
      </x:fill>
    </x:dxf>
    <x:dxf>
      <x:font>
        <x:b/>
        <x:color rgb="FF8A1C12"/>
      </x:font>
      <x:fill>
        <x:patternFill>
          <x:bgColor rgb="FFFADBD8"/>
        </x:patternFill>
      </x:fill>
    </x:dxf>
    <x:dxf>
      <x:font>
        <x:color rgb="FFEBEDF0"/>
      </x:font>
      <x:fill>
        <x:patternFill>
          <x:bgColor rgb="FFEBEDF0"/>
        </x:patternFill>
      </x:fill>
    </x:dxf>
    <x:dxf>
      <x:font>
        <x:color rgb="FF9BE9A8"/>
      </x:font>
      <x:fill>
        <x:patternFill>
          <x:bgColor rgb="FF9BE9A8"/>
        </x:patternFill>
      </x:fill>
    </x:dxf>
    <x:dxf>
      <x:font>
        <x:color rgb="FF40C463"/>
      </x:font>
      <x:fill>
        <x:patternFill>
          <x:bgColor rgb="FF40C463"/>
        </x:patternFill>
      </x:fill>
    </x:dxf>
    <x:dxf>
      <x:font>
        <x:color rgb="FF30A14E"/>
      </x:font>
      <x:fill>
        <x:patternFill>
          <x:bgColor rgb="FF30A14E"/>
        </x:patternFill>
      </x:fill>
    </x:dxf>
    <x:dxf>
      <x:font>
        <x:color rgb="FF216E39"/>
      </x:font>
      <x:fill>
        <x:patternFill>
          <x:bgColor rgb="FF216E3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f4d545f5954484" /><Relationship Type="http://schemas.openxmlformats.org/officeDocument/2006/relationships/theme" Target="/xl/theme/theme1.xml" Id="Rbd2eb619d3314f2b" /><Relationship Type="http://schemas.openxmlformats.org/officeDocument/2006/relationships/sharedStrings" Target="/xl/sharedStrings.xml" Id="R265504a6255a4b9c" /><Relationship Type="http://schemas.openxmlformats.org/officeDocument/2006/relationships/worksheet" Target="/xl/worksheets/sheet1.xml" Id="R64a2ec512f4a4a3e" /><Relationship Type="http://schemas.openxmlformats.org/officeDocument/2006/relationships/worksheet" Target="/xl/worksheets/sheet2.xml" Id="R49e22ad724c144f9" /><Relationship Type="http://schemas.openxmlformats.org/officeDocument/2006/relationships/worksheet" Target="/xl/worksheets/sheet3.xml" Id="R0b744990c1714085" /></Relationships>
</file>

<file path=xl/tables/table1.xml><?xml version="1.0" encoding="utf-8"?>
<x:table xmlns:x="http://schemas.openxmlformats.org/spreadsheetml/2006/main" id="7" name="ImplementationTasks" displayName="ImplementationTasks" ref="A4:L89" headerRowCount="1" totalsRowCount="0" totalsRowShown="0">
  <x:tableColumns count="12">
    <x:tableColumn id="1" name="ID"/>
    <x:tableColumn id="2" name="完了"/>
    <x:tableColumn id="3" name="カテゴリ"/>
    <x:tableColumn id="4" name="作業領域"/>
    <x:tableColumn id="5" name="タスク"/>
    <x:tableColumn id="6" name="状態"/>
    <x:tableColumn id="7" name="優先度"/>
    <x:tableColumn id="8" name="現状・実績"/>
    <x:tableColumn id="9" name="次の作業"/>
    <x:tableColumn id="10" name="完了条件"/>
    <x:tableColumn id="11" name="関連ファイル／サービス"/>
    <x:tableColumn id="12" name="最終更新日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ProgressHistory" displayName="ProgressHistory" ref="A3:F16" headerRowCount="1" totalsRowCount="0" totalsRowShown="0">
  <x:tableColumns count="6">
    <x:tableColumn id="1" name="更新日"/>
    <x:tableColumn id="2" name="カテゴリ"/>
    <x:tableColumn id="3" name="更新内容"/>
    <x:tableColumn id="4" name="関連タスクID"/>
    <x:tableColumn id="5" name="Gitコミット"/>
    <x:tableColumn id="6" name="更新者・備考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4acb05d4f59411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d5850e47c2547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46" hidden="0" customWidth="1"/>
    <x:col min="9" max="9" width="13" hidden="0" customWidth="1"/>
    <x:col min="10" max="10" width="13" hidden="0" customWidth="1"/>
  </x:cols>
  <x:sheetData>
    <x:row r="1" ht="36" customHeight="1">
      <x:c r="A1" s="175" t="str">
        <x:v>essay_training_system 開発進捗</x:v>
      </x:c>
      <x:c r="B1" s="175" t="str"/>
      <x:c r="C1" s="175" t="str"/>
      <x:c r="D1" s="175" t="str"/>
      <x:c r="E1" s="175" t="str"/>
      <x:c r="F1" s="175" t="str"/>
      <x:c r="G1" s="175" t="str"/>
      <x:c r="H1" s="175" t="str"/>
      <x:c r="I1" s="175" t="str"/>
      <x:c r="J1" s="3"/>
    </x:row>
    <x:row r="2" ht="30" customHeight="1">
      <x:c r="A2" s="178" t="str">
        <x:v>状態は「実装タスク」シートで更新します。作業完了時は状態・現状・次の作業・更新日・更新履歴を必ず更新します。</x:v>
      </x:c>
      <x:c r="B2" s="178" t="str"/>
      <x:c r="C2" s="178" t="str"/>
      <x:c r="D2" s="178" t="str"/>
      <x:c r="E2" s="178" t="str"/>
      <x:c r="F2" s="178" t="str"/>
      <x:c r="G2" s="178" t="str"/>
      <x:c r="H2" s="178" t="str"/>
      <x:c r="I2" s="178" t="str"/>
      <x:c r="J2" s="6"/>
    </x:row>
    <x:row r="4" ht="25" customHeight="1">
      <x:c r="A4" s="181" t="str">
        <x:v>総タスク</x:v>
      </x:c>
      <x:c r="B4" s="181" t="str"/>
      <x:c r="C4" s="181" t="str">
        <x:v>完了</x:v>
      </x:c>
      <x:c r="D4" s="181" t="str"/>
      <x:c r="E4" s="181" t="str">
        <x:v>進行中</x:v>
      </x:c>
      <x:c r="F4" s="181" t="str"/>
      <x:c r="G4" s="181" t="str">
        <x:v>要確認</x:v>
      </x:c>
      <x:c r="H4" s="181" t="str"/>
      <x:c r="I4" s="181" t="str">
        <x:v>全体完了率</x:v>
      </x:c>
      <x:c r="J4" s="10"/>
    </x:row>
    <x:row r="5" ht="25" customHeight="1">
      <x:c r="A5" s="199" t="n">
        <x:f>COUNTA('実装タスク'!A5:A90)</x:f>
        <x:v>86</x:v>
      </x:c>
      <x:c r="B5" s="200" t="str"/>
      <x:c r="C5" s="201" t="n">
        <x:f>COUNTIF('実装タスク'!F5:F90,"完了")</x:f>
        <x:v>42</x:v>
      </x:c>
      <x:c r="D5" s="200" t="str"/>
      <x:c r="E5" s="201" t="n">
        <x:f>COUNTIF('実装タスク'!F5:F90,"進行中")</x:f>
        <x:v>13</x:v>
      </x:c>
      <x:c r="F5" s="200" t="str"/>
      <x:c r="G5" s="201" t="n">
        <x:f>COUNTIF('実装タスク'!F5:F90,"要確認")</x:f>
        <x:v>3</x:v>
      </x:c>
      <x:c r="H5" s="200" t="str"/>
      <x:c r="I5" s="190" t="n">
        <x:f>IFERROR(C5/A5,0)</x:f>
        <x:v>0.4883720930232558</x:v>
      </x:c>
      <x:c r="J5" s="22"/>
    </x:row>
    <x:row r="8">
      <x:c r="A8" s="25" t="str">
        <x:v>カテゴリ</x:v>
      </x:c>
      <x:c r="B8" s="25" t="str">
        <x:v>完了</x:v>
      </x:c>
      <x:c r="C8" s="25" t="str">
        <x:v>進行中</x:v>
      </x:c>
      <x:c r="D8" s="25" t="str">
        <x:v>未着手</x:v>
      </x:c>
      <x:c r="E8" s="25" t="str">
        <x:v>要確認</x:v>
      </x:c>
      <x:c r="F8" s="25" t="str">
        <x:v>合計</x:v>
      </x:c>
      <x:c r="G8" s="25" t="str">
        <x:v>完了率</x:v>
      </x:c>
      <x:c r="H8" s="25" t="str">
        <x:v>次の主要作業</x:v>
      </x:c>
    </x:row>
    <x:row r="9" ht="31" customHeight="1">
      <x:c r="A9" s="34" t="str">
        <x:v>基盤・開発環境</x:v>
      </x:c>
      <x:c r="B9" s="36" t="n">
        <x:f>COUNTIFS('実装タスク'!$C$5:$C$90,$A9,'実装タスク'!$F$5:$F$90,"完了")</x:f>
        <x:v>6</x:v>
      </x:c>
      <x:c r="C9" s="36" t="n">
        <x:f>COUNTIFS('実装タスク'!$C$5:$C$90,$A9,'実装タスク'!$F$5:$F$90,"進行中")</x:f>
        <x:v>2</x:v>
      </x:c>
      <x:c r="D9" s="36" t="n">
        <x:f>COUNTIFS('実装タスク'!$C$5:$C$90,$A9,'実装タスク'!$F$5:$F$90,"未着手")</x:f>
        <x:v>0</x:v>
      </x:c>
      <x:c r="E9" s="36" t="n">
        <x:f>COUNTIFS('実装タスク'!$C$5:$C$90,$A9,'実装タスク'!$F$5:$F$90,"要確認")</x:f>
        <x:v>0</x:v>
      </x:c>
      <x:c r="F9" s="36" t="n">
        <x:f>SUM(B9:E9)</x:f>
        <x:v>8</x:v>
      </x:c>
      <x:c r="G9" s="37" t="n">
        <x:f>IFERROR(B9/F9,0)</x:f>
        <x:v>0.75</x:v>
      </x:c>
      <x:c r="H9" s="42" t="str">
        <x:v>.tool-versionsをコミットし、Playwright基盤を追加</x:v>
      </x:c>
    </x:row>
    <x:row r="10" ht="31" customHeight="1">
      <x:c r="A10" s="35" t="str">
        <x:v>アプリ本体・学習機能</x:v>
      </x:c>
      <x:c r="B10" s="38" t="n">
        <x:f>COUNTIFS('実装タスク'!$C$5:$C$90,$A10,'実装タスク'!$F$5:$F$90,"完了")</x:f>
        <x:v>12</x:v>
      </x:c>
      <x:c r="C10" s="38" t="n">
        <x:f>COUNTIFS('実装タスク'!$C$5:$C$90,$A10,'実装タスク'!$F$5:$F$90,"進行中")</x:f>
        <x:v>3</x:v>
      </x:c>
      <x:c r="D10" s="38" t="n">
        <x:f>COUNTIFS('実装タスク'!$C$5:$C$90,$A10,'実装タスク'!$F$5:$F$90,"未着手")</x:f>
        <x:v>0</x:v>
      </x:c>
      <x:c r="E10" s="38" t="n">
        <x:f>COUNTIFS('実装タスク'!$C$5:$C$90,$A10,'実装タスク'!$F$5:$F$90,"要確認")</x:f>
        <x:v>0</x:v>
      </x:c>
      <x:c r="F10" s="38" t="n">
        <x:f>SUM(B10:E10)</x:f>
        <x:v>15</x:v>
      </x:c>
      <x:c r="G10" s="39" t="n">
        <x:f>IFERROR(B10/F10,0)</x:f>
        <x:v>0.8</x:v>
      </x:c>
      <x:c r="H10" s="43" t="str">
        <x:v>実ユーザーログで適応選択の閾値を調整</x:v>
      </x:c>
    </x:row>
    <x:row r="11" ht="31" customHeight="1">
      <x:c r="A11" s="35" t="str">
        <x:v>カリキュラム</x:v>
      </x:c>
      <x:c r="B11" s="38" t="n">
        <x:f>COUNTIFS('実装タスク'!$C$5:$C$90,$A11,'実装タスク'!$F$5:$F$90,"完了")</x:f>
        <x:v>8</x:v>
      </x:c>
      <x:c r="C11" s="38" t="n">
        <x:f>COUNTIFS('実装タスク'!$C$5:$C$90,$A11,'実装タスク'!$F$5:$F$90,"進行中")</x:f>
        <x:v>0</x:v>
      </x:c>
      <x:c r="D11" s="38" t="n">
        <x:f>COUNTIFS('実装タスク'!$C$5:$C$90,$A11,'実装タスク'!$F$5:$F$90,"未着手")</x:f>
        <x:v>0</x:v>
      </x:c>
      <x:c r="E11" s="38" t="n">
        <x:f>COUNTIFS('実装タスク'!$C$5:$C$90,$A11,'実装タスク'!$F$5:$F$90,"要確認")</x:f>
        <x:v>0</x:v>
      </x:c>
      <x:c r="F11" s="38" t="n">
        <x:f>SUM(B11:E11)</x:f>
        <x:v>8</x:v>
      </x:c>
      <x:c r="G11" s="39" t="n">
        <x:f>IFERROR(B11/F11,0)</x:f>
        <x:v>1</x:v>
      </x:c>
      <x:c r="H11" s="43" t="str">
        <x:v>実利用ログで13段階の技能・題材分類をレビュー</x:v>
      </x:c>
    </x:row>
    <x:row r="12" ht="31" customHeight="1">
      <x:c r="A12" s="35" t="str">
        <x:v>認証・アカウント</x:v>
      </x:c>
      <x:c r="B12" s="38" t="n">
        <x:f>COUNTIFS('実装タスク'!$C$5:$C$90,$A12,'実装タスク'!$F$5:$F$90,"完了")</x:f>
        <x:v>4</x:v>
      </x:c>
      <x:c r="C12" s="38" t="n">
        <x:f>COUNTIFS('実装タスク'!$C$5:$C$90,$A12,'実装タスク'!$F$5:$F$90,"進行中")</x:f>
        <x:v>1</x:v>
      </x:c>
      <x:c r="D12" s="38" t="n">
        <x:f>COUNTIFS('実装タスク'!$C$5:$C$90,$A12,'実装タスク'!$F$5:$F$90,"未着手")</x:f>
        <x:v>2</x:v>
      </x:c>
      <x:c r="E12" s="38" t="n">
        <x:f>COUNTIFS('実装タスク'!$C$5:$C$90,$A12,'実装タスク'!$F$5:$F$90,"要確認")</x:f>
        <x:v>0</x:v>
      </x:c>
      <x:c r="F12" s="38" t="n">
        <x:f>SUM(B12:E12)</x:f>
        <x:v>7</x:v>
      </x:c>
      <x:c r="G12" s="39" t="n">
        <x:f>IFERROR(B12/F12,0)</x:f>
        <x:v>0.5714285714285714</x:v>
      </x:c>
      <x:c r="H12" s="43" t="str">
        <x:v>実メールで登録・確認・再設定を検証し、認証済みE2Eを追加</x:v>
      </x:c>
    </x:row>
    <x:row r="13" ht="31" customHeight="1">
      <x:c r="A13" s="35" t="str">
        <x:v>DB・権限</x:v>
      </x:c>
      <x:c r="B13" s="38" t="n">
        <x:f>COUNTIFS('実装タスク'!$C$5:$C$90,$A13,'実装タスク'!$F$5:$F$90,"完了")</x:f>
        <x:v>8</x:v>
      </x:c>
      <x:c r="C13" s="38" t="n">
        <x:f>COUNTIFS('実装タスク'!$C$5:$C$90,$A13,'実装タスク'!$F$5:$F$90,"進行中")</x:f>
        <x:v>1</x:v>
      </x:c>
      <x:c r="D13" s="38" t="n">
        <x:f>COUNTIFS('実装タスク'!$C$5:$C$90,$A13,'実装タスク'!$F$5:$F$90,"未着手")</x:f>
        <x:v>1</x:v>
      </x:c>
      <x:c r="E13" s="38" t="n">
        <x:f>COUNTIFS('実装タスク'!$C$5:$C$90,$A13,'実装タスク'!$F$5:$F$90,"要確認")</x:f>
        <x:v>0</x:v>
      </x:c>
      <x:c r="F13" s="38" t="n">
        <x:f>SUM(B13:E13)</x:f>
        <x:v>10</x:v>
      </x:c>
      <x:c r="G13" s="39" t="n">
        <x:f>IFERROR(B13/F13,0)</x:f>
        <x:v>0.8</x:v>
      </x:c>
      <x:c r="H13" s="43" t="str">
        <x:v>実ユーザーで下書き・再読込・別端末同期をE2E確認</x:v>
      </x:c>
    </x:row>
    <x:row r="14" ht="31" customHeight="1">
      <x:c r="A14" s="35" t="str">
        <x:v>AI添削</x:v>
      </x:c>
      <x:c r="B14" s="38" t="n">
        <x:f>COUNTIFS('実装タスク'!$C$5:$C$90,$A14,'実装タスク'!$F$5:$F$90,"完了")</x:f>
        <x:v>2</x:v>
      </x:c>
      <x:c r="C14" s="38" t="n">
        <x:f>COUNTIFS('実装タスク'!$C$5:$C$90,$A14,'実装タスク'!$F$5:$F$90,"進行中")</x:f>
        <x:v>2</x:v>
      </x:c>
      <x:c r="D14" s="38" t="n">
        <x:f>COUNTIFS('実装タスク'!$C$5:$C$90,$A14,'実装タスク'!$F$5:$F$90,"未着手")</x:f>
        <x:v>5</x:v>
      </x:c>
      <x:c r="E14" s="38" t="n">
        <x:f>COUNTIFS('実装タスク'!$C$5:$C$90,$A14,'実装タスク'!$F$5:$F$90,"要確認")</x:f>
        <x:v>0</x:v>
      </x:c>
      <x:c r="F14" s="38" t="n">
        <x:f>SUM(B14:E14)</x:f>
        <x:v>9</x:v>
      </x:c>
      <x:c r="G14" s="39" t="n">
        <x:f>IFERROR(B14/F14,0)</x:f>
        <x:v>0.2222222222222222</x:v>
      </x:c>
      <x:c r="H14" s="43" t="str">
        <x:v>Claude実測後、最終テストで本番AI上限を所有者へ確認</x:v>
      </x:c>
    </x:row>
    <x:row r="15" ht="31" customHeight="1">
      <x:c r="A15" s="35" t="str">
        <x:v>課金・利用権</x:v>
      </x:c>
      <x:c r="B15" s="38" t="n">
        <x:f>COUNTIFS('実装タスク'!$C$5:$C$90,$A15,'実装タスク'!$F$5:$F$90,"完了")</x:f>
        <x:v>1</x:v>
      </x:c>
      <x:c r="C15" s="38" t="n">
        <x:f>COUNTIFS('実装タスク'!$C$5:$C$90,$A15,'実装タスク'!$F$5:$F$90,"進行中")</x:f>
        <x:v>0</x:v>
      </x:c>
      <x:c r="D15" s="38" t="n">
        <x:f>COUNTIFS('実装タスク'!$C$5:$C$90,$A15,'実装タスク'!$F$5:$F$90,"未着手")</x:f>
        <x:v>4</x:v>
      </x:c>
      <x:c r="E15" s="38" t="n">
        <x:f>COUNTIFS('実装タスク'!$C$5:$C$90,$A15,'実装タスク'!$F$5:$F$90,"要確認")</x:f>
        <x:v>1</x:v>
      </x:c>
      <x:c r="F15" s="38" t="n">
        <x:f>SUM(B15:E15)</x:f>
        <x:v>6</x:v>
      </x:c>
      <x:c r="G15" s="39" t="n">
        <x:f>IFERROR(B15/F15,0)</x:f>
        <x:v>0.16666666666666666</x:v>
      </x:c>
      <x:c r="H15" s="43" t="str">
        <x:v>学習機能検証後に料金・利用上限を確定</x:v>
      </x:c>
    </x:row>
    <x:row r="16" ht="31" customHeight="1">
      <x:c r="A16" s="35" t="str">
        <x:v>管理者機能</x:v>
      </x:c>
      <x:c r="B16" s="38" t="n">
        <x:f>COUNTIFS('実装タスク'!$C$5:$C$90,$A16,'実装タスク'!$F$5:$F$90,"完了")</x:f>
        <x:v>0</x:v>
      </x:c>
      <x:c r="C16" s="38" t="n">
        <x:f>COUNTIFS('実装タスク'!$C$5:$C$90,$A16,'実装タスク'!$F$5:$F$90,"進行中")</x:f>
        <x:v>0</x:v>
      </x:c>
      <x:c r="D16" s="38" t="n">
        <x:f>COUNTIFS('実装タスク'!$C$5:$C$90,$A16,'実装タスク'!$F$5:$F$90,"未着手")</x:f>
        <x:v>4</x:v>
      </x:c>
      <x:c r="E16" s="38" t="n">
        <x:f>COUNTIFS('実装タスク'!$C$5:$C$90,$A16,'実装タスク'!$F$5:$F$90,"要確認")</x:f>
        <x:v>0</x:v>
      </x:c>
      <x:c r="F16" s="38" t="n">
        <x:f>SUM(B16:E16)</x:f>
        <x:v>4</x:v>
      </x:c>
      <x:c r="G16" s="39" t="n">
        <x:f>IFERROR(B16/F16,0)</x:f>
        <x:v>0</x:v>
      </x:c>
      <x:c r="H16" s="43" t="str">
        <x:v>認証・DB完成後に管理者ルートを実装</x:v>
      </x:c>
    </x:row>
    <x:row r="17" ht="31" customHeight="1">
      <x:c r="A17" s="35" t="str">
        <x:v>メール・通知</x:v>
      </x:c>
      <x:c r="B17" s="38" t="n">
        <x:f>COUNTIFS('実装タスク'!$C$5:$C$90,$A17,'実装タスク'!$F$5:$F$90,"完了")</x:f>
        <x:v>0</x:v>
      </x:c>
      <x:c r="C17" s="38" t="n">
        <x:f>COUNTIFS('実装タスク'!$C$5:$C$90,$A17,'実装タスク'!$F$5:$F$90,"進行中")</x:f>
        <x:v>0</x:v>
      </x:c>
      <x:c r="D17" s="38" t="n">
        <x:f>COUNTIFS('実装タスク'!$C$5:$C$90,$A17,'実装タスク'!$F$5:$F$90,"未着手")</x:f>
        <x:v>3</x:v>
      </x:c>
      <x:c r="E17" s="38" t="n">
        <x:f>COUNTIFS('実装タスク'!$C$5:$C$90,$A17,'実装タスク'!$F$5:$F$90,"要確認")</x:f>
        <x:v>0</x:v>
      </x:c>
      <x:c r="F17" s="38" t="n">
        <x:f>SUM(B17:E17)</x:f>
        <x:v>3</x:v>
      </x:c>
      <x:c r="G17" s="39" t="n">
        <x:f>IFERROR(B17/F17,0)</x:f>
        <x:v>0</x:v>
      </x:c>
      <x:c r="H17" s="43" t="str">
        <x:v>認証導線と独自ドメイン確定後に設定</x:v>
      </x:c>
    </x:row>
    <x:row r="18" ht="31" customHeight="1">
      <x:c r="A18" s="35" t="str">
        <x:v>公開・セキュリティ</x:v>
      </x:c>
      <x:c r="B18" s="38" t="n">
        <x:f>COUNTIFS('実装タスク'!$C$5:$C$90,$A18,'実装タスク'!$F$5:$F$90,"完了")</x:f>
        <x:v>0</x:v>
      </x:c>
      <x:c r="C18" s="38" t="n">
        <x:f>COUNTIFS('実装タスク'!$C$5:$C$90,$A18,'実装タスク'!$F$5:$F$90,"進行中")</x:f>
        <x:v>0</x:v>
      </x:c>
      <x:c r="D18" s="38" t="n">
        <x:f>COUNTIFS('実装タスク'!$C$5:$C$90,$A18,'実装タスク'!$F$5:$F$90,"未着手")</x:f>
        <x:v>5</x:v>
      </x:c>
      <x:c r="E18" s="38" t="n">
        <x:f>COUNTIFS('実装タスク'!$C$5:$C$90,$A18,'実装タスク'!$F$5:$F$90,"要確認")</x:f>
        <x:v>1</x:v>
      </x:c>
      <x:c r="F18" s="38" t="n">
        <x:f>SUM(B18:E18)</x:f>
        <x:v>6</x:v>
      </x:c>
      <x:c r="G18" s="39" t="n">
        <x:f>IFERROR(B18/F18,0)</x:f>
        <x:v>0</x:v>
      </x:c>
      <x:c r="H18" s="43" t="str">
        <x:v>主要画面完成後にCloudflareアダプターを追加</x:v>
      </x:c>
    </x:row>
    <x:row r="19" ht="31" customHeight="1">
      <x:c r="A19" s="35" t="str">
        <x:v>テスト・運用・法務</x:v>
      </x:c>
      <x:c r="B19" s="38" t="n">
        <x:f>COUNTIFS('実装タスク'!$C$5:$C$90,$A19,'実装タスク'!$F$5:$F$90,"完了")</x:f>
        <x:v>1</x:v>
      </x:c>
      <x:c r="C19" s="38" t="n">
        <x:f>COUNTIFS('実装タスク'!$C$5:$C$90,$A19,'実装タスク'!$F$5:$F$90,"進行中")</x:f>
        <x:v>4</x:v>
      </x:c>
      <x:c r="D19" s="38" t="n">
        <x:f>COUNTIFS('実装タスク'!$C$5:$C$90,$A19,'実装タスク'!$F$5:$F$90,"未着手")</x:f>
        <x:v>4</x:v>
      </x:c>
      <x:c r="E19" s="38" t="n">
        <x:f>COUNTIFS('実装タスク'!$C$5:$C$90,$A19,'実装タスク'!$F$5:$F$90,"要確認")</x:f>
        <x:v>1</x:v>
      </x:c>
      <x:c r="F19" s="38" t="n">
        <x:f>SUM(B19:E19)</x:f>
        <x:v>10</x:v>
      </x:c>
      <x:c r="G19" s="39" t="n">
        <x:f>IFERROR(B19/F19,0)</x:f>
        <x:v>0.1</x:v>
      </x:c>
      <x:c r="H19" s="43" t="str">
        <x:v>認証済みE2E、Claude異常系、年境界テストを追加</x:v>
      </x:c>
    </x:row>
    <x:row r="22" ht="30" customHeight="1">
      <x:c r="A22" s="193" t="str">
        <x:v>次の順序: ① 実メールで登録・確認・再設定 ② 認証済みE2Eと別端末同期 ③ Claude自然文問題生成・添削 ④ 品質・実測トークン・費用を測定 ⑤ 最終テストで所有者へ本番AI上限を確認・承認</x:v>
      </x:c>
      <x:c r="B22" s="193" t="str"/>
      <x:c r="C22" s="193" t="str"/>
      <x:c r="D22" s="193" t="str"/>
      <x:c r="E22" s="193" t="str"/>
      <x:c r="F22" s="193" t="str"/>
      <x:c r="G22" s="193" t="str"/>
      <x:c r="H22" s="193" t="str"/>
      <x:c r="I22" s="193" t="str"/>
      <x:c r="J22" s="46"/>
    </x:row>
    <x:row r="23" ht="30" customHeight="1">
      <x:c r="A23" s="195" t="str">
        <x:v>進捗は作業単位の更新履歴で管理します。開発者の日次活動と作業時間は記録しません。学習者向け活動グリッドはアプリ機能として維持します。</x:v>
      </x:c>
      <x:c r="B23" s="195" t="str"/>
      <x:c r="C23" s="195" t="str"/>
      <x:c r="D23" s="195" t="str"/>
      <x:c r="E23" s="195" t="str"/>
      <x:c r="F23" s="195" t="str"/>
      <x:c r="G23" s="195" t="str"/>
      <x:c r="H23" s="195" t="str"/>
      <x:c r="I23" s="195" t="str"/>
      <x:c r="J23" s="106"/>
    </x:row>
    <x:row r="24" ht="22" customHeight="1">
      <x:c r="A24" s="198" t="str">
        <x:v>最終更新日: 2026-08-26　｜　進捗の正本: このファイル</x:v>
      </x:c>
      <x:c r="B24" s="198" t="str"/>
      <x:c r="C24" s="198" t="str"/>
      <x:c r="D24" s="198" t="str"/>
      <x:c r="E24" s="198" t="str"/>
      <x:c r="F24" s="198" t="str"/>
      <x:c r="G24" s="198" t="str"/>
      <x:c r="H24" s="198" t="str"/>
      <x:c r="I24" s="198" t="str"/>
      <x:c r="J24" s="47"/>
    </x:row>
  </x:sheetData>
  <x:mergeCells>
    <x:mergeCell ref="A2:I2"/>
    <x:mergeCell ref="A22:I22"/>
    <x:mergeCell ref="A23:I23"/>
    <x:mergeCell ref="A24:I24"/>
  </x:mergeCells>
  <x:conditionalFormatting sqref="G9:G19">
    <x:cfRule type="dataBar" priority="1">
      <x:dataBar>
        <x:cfvo type="min"/>
        <x:cfvo type="max"/>
        <x:color rgb="FF1F6F78"/>
      </x:dataBar>
      <x:extLst>
        <x:ext xmlns:x14="http://schemas.microsoft.com/office/spreadsheetml/2009/9/main" uri="{B025F937-C7B1-47D3-B67F-A62EFF666E3E}">
          <x14:id>{CF024F42-CE96-9AEC-55AE-BF1F9EB834AD}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CF024F42-CE96-9AEC-55AE-BF1F9EB834AD}">
            <x14:dataBar gradient="1">
              <x14:cfvo type="min"/>
              <x14:cfvo type="max"/>
              <x14:fillColor rgb="FF1F6F78"/>
            </x14:dataBar>
          </x14:cfRule>
          <xm:sqref>G9:G19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" hidden="0" customWidth="1"/>
    <x:col min="3" max="3" width="22" hidden="0" customWidth="1"/>
    <x:col min="4" max="4" width="16" hidden="0" customWidth="1"/>
    <x:col min="5" max="5" width="38" hidden="0" customWidth="1"/>
    <x:col min="6" max="6" width="12" hidden="0" customWidth="1"/>
    <x:col min="7" max="7" width="9" hidden="0" customWidth="1"/>
    <x:col min="8" max="8" width="36" hidden="0" customWidth="1"/>
    <x:col min="9" max="9" width="36" hidden="0" customWidth="1"/>
    <x:col min="10" max="10" width="36" hidden="0" customWidth="1"/>
    <x:col min="11" max="11" width="34" hidden="0" customWidth="1"/>
    <x:col min="12" max="12" width="14" hidden="0" customWidth="1"/>
  </x:cols>
  <x:sheetData>
    <x:row r="1" ht="34" customHeight="1">
      <x:c r="A1" s="49" t="str">
        <x:v>実装タスク一覧</x:v>
      </x:c>
      <x:c r="B1" s="49"/>
      <x:c r="C1" s="49"/>
      <x:c r="D1" s="49"/>
      <x:c r="E1" s="49"/>
      <x:c r="F1" s="49"/>
      <x:c r="G1" s="49"/>
      <x:c r="H1" s="49"/>
      <x:c r="I1" s="49"/>
      <x:c r="J1" s="49"/>
      <x:c r="K1" s="49"/>
      <x:c r="L1" s="49"/>
    </x:row>
    <x:row r="2" ht="30" customHeight="1">
      <x:c r="A2" s="51" t="str">
        <x:v>黄色の列（状態・優先度・現状・次の作業・更新日）を作業のたびに更新し、更新履歴にも1行追加します。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</x:row>
    <x:row r="4" ht="30" customHeight="1">
      <x:c r="A4" s="54" t="str">
        <x:v>ID</x:v>
      </x:c>
      <x:c r="B4" s="54" t="str">
        <x:v>完了</x:v>
      </x:c>
      <x:c r="C4" s="54" t="str">
        <x:v>カテゴリ</x:v>
      </x:c>
      <x:c r="D4" s="54" t="str">
        <x:v>作業領域</x:v>
      </x:c>
      <x:c r="E4" s="54" t="str">
        <x:v>タスク</x:v>
      </x:c>
      <x:c r="F4" s="54" t="str">
        <x:v>状態</x:v>
      </x:c>
      <x:c r="G4" s="54" t="str">
        <x:v>優先度</x:v>
      </x:c>
      <x:c r="H4" s="54" t="str">
        <x:v>現状・実績</x:v>
      </x:c>
      <x:c r="I4" s="54" t="str">
        <x:v>次の作業</x:v>
      </x:c>
      <x:c r="J4" s="54" t="str">
        <x:v>完了条件</x:v>
      </x:c>
      <x:c r="K4" s="54" t="str">
        <x:v>関連ファイル／サービス</x:v>
      </x:c>
      <x:c r="L4" s="54" t="str">
        <x:v>最終更新日</x:v>
      </x:c>
    </x:row>
    <x:row r="5" ht="48" customHeight="1">
      <x:c r="A5" s="60" t="str">
        <x:v>ENV-001</x:v>
      </x:c>
      <x:c r="B5" s="69" t="str">
        <x:f>IF(F5="完了","☑","☐")</x:f>
        <x:v>☑</x:v>
      </x:c>
      <x:c r="C5" s="60" t="str">
        <x:v>基盤・開発環境</x:v>
      </x:c>
      <x:c r="D5" s="60" t="str">
        <x:v>Git</x:v>
      </x:c>
      <x:c r="E5" s="75" t="str">
        <x:v>GitHubリポジトリとmainブランチを作成する</x:v>
      </x:c>
      <x:c r="F5" s="81" t="str">
        <x:v>完了</x:v>
      </x:c>
      <x:c r="G5" s="81" t="str">
        <x:v>P0</x:v>
      </x:c>
      <x:c r="H5" s="82" t="str">
        <x:v>初回コミットとHTTPS Pushが完了。mainとorigin/mainが同期済み</x:v>
      </x:c>
      <x:c r="I5" s="82" t="str">
        <x:v>通常のコミット・Push運用を継続</x:v>
      </x:c>
      <x:c r="J5" s="75" t="str">
        <x:v>GitHub上にmainとコミットが存在する</x:v>
      </x:c>
      <x:c r="K5" s="75" t="str">
        <x:v>.git/</x:v>
      </x:c>
      <x:c r="L5" s="87" t="n">
        <x:v>46258</x:v>
      </x:c>
    </x:row>
    <x:row r="6" ht="48" customHeight="1">
      <x:c r="A6" s="62" t="str">
        <x:v>ENV-002</x:v>
      </x:c>
      <x:c r="B6" s="70" t="str">
        <x:f>IF(F6="完了","☑","☐")</x:f>
        <x:v>☑</x:v>
      </x:c>
      <x:c r="C6" s="62" t="str">
        <x:v>基盤・開発環境</x:v>
      </x:c>
      <x:c r="D6" s="62" t="str">
        <x:v>構成</x:v>
      </x:c>
      <x:c r="E6" s="77" t="str">
        <x:v>ワークスペース直下をGit・アプリのルートに統一する</x:v>
      </x:c>
      <x:c r="F6" s="83" t="str">
        <x:v>完了</x:v>
      </x:c>
      <x:c r="G6" s="83" t="str">
        <x:v>P0</x:v>
      </x:c>
      <x:c r="H6" s="84" t="str">
        <x:v>二重Gitと不要な入れ子を解消。essay_training_system直下へ統合済み</x:v>
      </x:c>
      <x:c r="I6" s="84" t="str">
        <x:v>構成を維持する</x:v>
      </x:c>
      <x:c r="J6" s="77" t="str">
        <x:v>ルート直下にweb、supabase、docsがある</x:v>
      </x:c>
      <x:c r="K6" s="77" t="str">
        <x:v>README.md</x:v>
      </x:c>
      <x:c r="L6" s="88" t="n">
        <x:v>46258</x:v>
      </x:c>
    </x:row>
    <x:row r="7" ht="48" customHeight="1">
      <x:c r="A7" s="62" t="str">
        <x:v>ENV-003</x:v>
      </x:c>
      <x:c r="B7" s="70" t="str">
        <x:f>IF(F7="完了","☑","☐")</x:f>
        <x:v>☑</x:v>
      </x:c>
      <x:c r="C7" s="62" t="str">
        <x:v>基盤・開発環境</x:v>
      </x:c>
      <x:c r="D7" s="62" t="str">
        <x:v>安全管理</x:v>
      </x:c>
      <x:c r="E7" s="77" t="str">
        <x:v>生成物・秘密情報を.gitignoreで除外する</x:v>
      </x:c>
      <x:c r="F7" s="83" t="str">
        <x:v>完了</x:v>
      </x:c>
      <x:c r="G7" s="83" t="str">
        <x:v>P0</x:v>
      </x:c>
      <x:c r="H7" s="84" t="str">
        <x:v>Node、SvelteKit、環境変数、Cloudflare、Supabase状態を除外。除外規則を実ファイルで検証済み</x:v>
      </x:c>
      <x:c r="I7" s="84" t="str">
        <x:v>新しいツール導入時に規則を追加</x:v>
      </x:c>
      <x:c r="J7" s="77" t="str">
        <x:v>.env等がGit対象にならない</x:v>
      </x:c>
      <x:c r="K7" s="77" t="str">
        <x:v>.gitignore</x:v>
      </x:c>
      <x:c r="L7" s="88" t="n">
        <x:v>46258</x:v>
      </x:c>
    </x:row>
    <x:row r="8" ht="48" customHeight="1">
      <x:c r="A8" s="62" t="str">
        <x:v>ENV-004</x:v>
      </x:c>
      <x:c r="B8" s="70" t="str">
        <x:f>IF(F8="完了","☑","☐")</x:f>
        <x:v>☐</x:v>
      </x:c>
      <x:c r="C8" s="62" t="str">
        <x:v>基盤・開発環境</x:v>
      </x:c>
      <x:c r="D8" s="62" t="str">
        <x:v>実行環境</x:v>
      </x:c>
      <x:c r="E8" s="77" t="str">
        <x:v>asdfでこのプロジェクトのNode.js 24.19.0を固定する</x:v>
      </x:c>
      <x:c r="F8" s="83" t="str">
        <x:v>進行中</x:v>
      </x:c>
      <x:c r="G8" s="83" t="str">
        <x:v>P0</x:v>
      </x:c>
      <x:c r="H8" s="84" t="str">
        <x:v>ローカルとGitHubで同じNodeを再現。ローカル設定は完了。.tool-versionsは未コミット</x:v>
      </x:c>
      <x:c r="I8" s="84" t="str">
        <x:v>.tool-versionsをコミット・Pushする</x:v>
      </x:c>
      <x:c r="J8" s="77" t="str">
        <x:v>asdf currentで24.19.0、Gitにも設定がある</x:v>
      </x:c>
      <x:c r="K8" s="77" t="str">
        <x:v>.tool-versions</x:v>
      </x:c>
      <x:c r="L8" s="88" t="n">
        <x:v>46258</x:v>
      </x:c>
    </x:row>
    <x:row r="9" ht="48" customHeight="1">
      <x:c r="A9" s="62" t="str">
        <x:v>ENV-005</x:v>
      </x:c>
      <x:c r="B9" s="70" t="str">
        <x:f>IF(F9="完了","☑","☐")</x:f>
        <x:v>☑</x:v>
      </x:c>
      <x:c r="C9" s="62" t="str">
        <x:v>基盤・開発環境</x:v>
      </x:c>
      <x:c r="D9" s="62" t="str">
        <x:v>パッケージ管理</x:v>
      </x:c>
      <x:c r="E9" s="77" t="str">
        <x:v>pnpm 11.19.0と依存関係を再現可能にする</x:v>
      </x:c>
      <x:c r="F9" s="83" t="str">
        <x:v>完了</x:v>
      </x:c>
      <x:c r="G9" s="83" t="str">
        <x:v>P0</x:v>
      </x:c>
      <x:c r="H9" s="84" t="str">
        <x:v>固定版pnpmでfrozen installが成功。Corepack経由で11.19.0、依存関係は最新</x:v>
      </x:c>
      <x:c r="I9" s="84" t="str">
        <x:v>バージョン更新は計画的に行う</x:v>
      </x:c>
      <x:c r="J9" s="77" t="str">
        <x:v>pnpm install --frozen-lockfileが成功</x:v>
      </x:c>
      <x:c r="K9" s="77" t="str">
        <x:v>web/package.json / web/pnpm-lock.yaml</x:v>
      </x:c>
      <x:c r="L9" s="88" t="n">
        <x:v>46258</x:v>
      </x:c>
    </x:row>
    <x:row r="10" ht="48" customHeight="1">
      <x:c r="A10" s="62" t="str">
        <x:v>ENV-006</x:v>
      </x:c>
      <x:c r="B10" s="70" t="str">
        <x:f>IF(F10="完了","☑","☐")</x:f>
        <x:v>☑</x:v>
      </x:c>
      <x:c r="C10" s="62" t="str">
        <x:v>基盤・開発環境</x:v>
      </x:c>
      <x:c r="D10" s="62" t="str">
        <x:v>CI</x:v>
      </x:c>
      <x:c r="E10" s="77" t="str">
        <x:v>GitHub Actionsで型検査と本番ビルドを行う</x:v>
      </x:c>
      <x:c r="F10" s="83" t="str">
        <x:v>完了</x:v>
      </x:c>
      <x:c r="G10" s="83" t="str">
        <x:v>P1</x:v>
      </x:c>
      <x:c r="H10" s="84" t="str">
        <x:v>Push・PR時にcurriculum:build、check、Vitest、buildを自動実行する構成へ更新</x:v>
      </x:c>
      <x:c r="I10" s="84" t="str">
        <x:v>Playwright導入後にE2EもCIへ追加</x:v>
      </x:c>
      <x:c r="J10" s="77" t="str">
        <x:v>Actionsでcheck/buildが成功</x:v>
      </x:c>
      <x:c r="K10" s="77" t="str">
        <x:v>.github/workflows/verify.yml</x:v>
      </x:c>
      <x:c r="L10" s="172" t="n">
        <x:v>46258</x:v>
      </x:c>
    </x:row>
    <x:row r="11" ht="48" customHeight="1">
      <x:c r="A11" s="62" t="str">
        <x:v>ENV-007</x:v>
      </x:c>
      <x:c r="B11" s="70" t="str">
        <x:f>IF(F11="完了","☑","☐")</x:f>
        <x:v>☐</x:v>
      </x:c>
      <x:c r="C11" s="62" t="str">
        <x:v>基盤・開発環境</x:v>
      </x:c>
      <x:c r="D11" s="62" t="str">
        <x:v>品質基盤</x:v>
      </x:c>
      <x:c r="E11" s="77" t="str">
        <x:v>自動テスト用の共通コマンドを整備する</x:v>
      </x:c>
      <x:c r="F11" s="83" t="str">
        <x:v>進行中</x:v>
      </x:c>
      <x:c r="G11" s="83" t="str">
        <x:v>P0</x:v>
      </x:c>
      <x:c r="H11" s="84" t="str">
        <x:v>Vitest、型検査、ビルドをverifyへ統合。問題ローテーション・進級を含む5ファイル17テストが成功</x:v>
      </x:c>
      <x:c r="I11" s="84" t="str">
        <x:v>実Supabase接続後にPlaywright E2EをCIへ追加</x:v>
      </x:c>
      <x:c r="J11" s="77" t="str">
        <x:v>test、test:e2eが実行できる</x:v>
      </x:c>
      <x:c r="K11" s="77" t="str">
        <x:v>web/package.json / web/vite.config.ts / web/src/**/*.test.ts</x:v>
      </x:c>
      <x:c r="L11" s="172" t="n">
        <x:v>46259</x:v>
      </x:c>
    </x:row>
    <x:row r="12" ht="48" customHeight="1">
      <x:c r="A12" s="62" t="str">
        <x:v>APP-001</x:v>
      </x:c>
      <x:c r="B12" s="70" t="str">
        <x:f>IF(F12="完了","☑","☐")</x:f>
        <x:v>☑</x:v>
      </x:c>
      <x:c r="C12" s="62" t="str">
        <x:v>アプリ本体・学習機能</x:v>
      </x:c>
      <x:c r="D12" s="62" t="str">
        <x:v>基盤</x:v>
      </x:c>
      <x:c r="E12" s="77" t="str">
        <x:v>SvelteKit + TypeScriptのアプリを作成する</x:v>
      </x:c>
      <x:c r="F12" s="83" t="str">
        <x:v>完了</x:v>
      </x:c>
      <x:c r="G12" s="83" t="str">
        <x:v>P0</x:v>
      </x:c>
      <x:c r="H12" s="84" t="str">
        <x:v>ローカル起動・型検査・ビルドが成功。SvelteKit雛形を作成済み</x:v>
      </x:c>
      <x:c r="I12" s="84" t="str">
        <x:v>機能単位でルート・コンポーネントを追加</x:v>
      </x:c>
      <x:c r="J12" s="77" t="str">
        <x:v>pnpm run dev/check/buildが成功</x:v>
      </x:c>
      <x:c r="K12" s="77" t="str">
        <x:v>web/</x:v>
      </x:c>
      <x:c r="L12" s="88" t="n">
        <x:v>46258</x:v>
      </x:c>
    </x:row>
    <x:row r="13" ht="48" customHeight="1">
      <x:c r="A13" s="62" t="str">
        <x:v>APP-002</x:v>
      </x:c>
      <x:c r="B13" s="70" t="str">
        <x:f>IF(F13="完了","☑","☐")</x:f>
        <x:v>☑</x:v>
      </x:c>
      <x:c r="C13" s="62" t="str">
        <x:v>アプリ本体・学習機能</x:v>
      </x:c>
      <x:c r="D13" s="62" t="str">
        <x:v>型</x:v>
      </x:c>
      <x:c r="E13" s="77" t="str">
        <x:v>認証・利用権・添削結果の境界型を定義する</x:v>
      </x:c>
      <x:c r="F13" s="83" t="str">
        <x:v>完了</x:v>
      </x:c>
      <x:c r="G13" s="83" t="str">
        <x:v>P1</x:v>
      </x:c>
      <x:c r="H13" s="84" t="str">
        <x:v>外部サービスから学習ロジックを分離。UserSession、AccessState、FeedbackResultを定義済み</x:v>
      </x:c>
      <x:c r="I13" s="84" t="str">
        <x:v>実API実装時に型を検証へ接続</x:v>
      </x:c>
      <x:c r="J13" s="77" t="str">
        <x:v>共通型が機能から参照される</x:v>
      </x:c>
      <x:c r="K13" s="77" t="str">
        <x:v>web/src/lib/types/contracts.ts</x:v>
      </x:c>
      <x:c r="L13" s="88" t="n">
        <x:v>46258</x:v>
      </x:c>
    </x:row>
    <x:row r="14" ht="48" customHeight="1">
      <x:c r="A14" s="62" t="str">
        <x:v>APP-003</x:v>
      </x:c>
      <x:c r="B14" s="70" t="str">
        <x:f>IF(F14="完了","☑","☐")</x:f>
        <x:v>☑</x:v>
      </x:c>
      <x:c r="C14" s="62" t="str">
        <x:v>アプリ本体・学習機能</x:v>
      </x:c>
      <x:c r="D14" s="62" t="str">
        <x:v>画面</x:v>
      </x:c>
      <x:c r="E14" s="77" t="str">
        <x:v>課題入力とモック添削を1画面で確認できるようにする</x:v>
      </x:c>
      <x:c r="F14" s="83" t="str">
        <x:v>完了</x:v>
      </x:c>
      <x:c r="G14" s="83" t="str">
        <x:v>P1</x:v>
      </x:c>
      <x:c r="H14" s="84" t="str">
        <x:v>入力・文字数・提出・添削表示を確認。トップページ1画面のモックが動作</x:v>
      </x:c>
      <x:c r="I14" s="84" t="str">
        <x:v>実データ画面へ分割する</x:v>
      </x:c>
      <x:c r="J14" s="77" t="str">
        <x:v>ブラウザで一連の操作が可能</x:v>
      </x:c>
      <x:c r="K14" s="77" t="str">
        <x:v>web/src/routes/+page.svelte</x:v>
      </x:c>
      <x:c r="L14" s="88" t="n">
        <x:v>46258</x:v>
      </x:c>
    </x:row>
    <x:row r="15" ht="48" customHeight="1">
      <x:c r="A15" s="62" t="str">
        <x:v>APP-004</x:v>
      </x:c>
      <x:c r="B15" s="70" t="str">
        <x:f>IF(F15="完了","☑","☐")</x:f>
        <x:v>☑</x:v>
      </x:c>
      <x:c r="C15" s="62" t="str">
        <x:v>アプリ本体・学習機能</x:v>
      </x:c>
      <x:c r="D15" s="62" t="str">
        <x:v>画面構成</x:v>
      </x:c>
      <x:c r="E15" s="77" t="str">
        <x:v>アプリのルートとナビゲーションを設計する</x:v>
      </x:c>
      <x:c r="F15" s="83" t="str">
        <x:v>完了</x:v>
      </x:c>
      <x:c r="G15" s="83" t="str">
        <x:v>P0</x:v>
      </x:c>
      <x:c r="H15" s="84" t="str">
        <x:v>ホーム、課題、履歴、進捗、課題詳細のルートと共通ナビゲーションを実装</x:v>
      </x:c>
      <x:c r="I15" s="84" t="str">
        <x:v>Supabase接続時に認証済みレイアウトへ拡張</x:v>
      </x:c>
      <x:c r="J15" s="77" t="str">
        <x:v>主要画面へURLで移動できる</x:v>
      </x:c>
      <x:c r="K15" s="77" t="str">
        <x:v>web/src/routes/ / web/src/app.css</x:v>
      </x:c>
      <x:c r="L15" s="172" t="n">
        <x:v>46258</x:v>
      </x:c>
    </x:row>
    <x:row r="16" ht="48" customHeight="1">
      <x:c r="A16" s="62" t="str">
        <x:v>APP-005</x:v>
      </x:c>
      <x:c r="B16" s="70" t="str">
        <x:f>IF(F16="完了","☑","☐")</x:f>
        <x:v>☑</x:v>
      </x:c>
      <x:c r="C16" s="62" t="str">
        <x:v>アプリ本体・学習機能</x:v>
      </x:c>
      <x:c r="D16" s="62" t="str">
        <x:v>課題</x:v>
      </x:c>
      <x:c r="E16" s="77" t="str">
        <x:v>課題一覧・課題詳細を実装する</x:v>
      </x:c>
      <x:c r="F16" s="83" t="str">
        <x:v>完了</x:v>
      </x:c>
      <x:c r="G16" s="83" t="str">
        <x:v>P0</x:v>
      </x:c>
      <x:c r="H16" s="84" t="str">
        <x:v>Excel由来の練習課題13件を一覧表示し、段階別の詳細・ルーブリックを表示</x:v>
      </x:c>
      <x:c r="I16" s="84" t="str">
        <x:v>本番用問題セット追加時にJSON生成へ取り込む</x:v>
      </x:c>
      <x:c r="J16" s="77" t="str">
        <x:v>複数課題を表示・選択できる</x:v>
      </x:c>
      <x:c r="K16" s="77" t="str">
        <x:v>web/src/routes/tasks/ / web/src/lib/data/curriculum.json</x:v>
      </x:c>
      <x:c r="L16" s="172" t="n">
        <x:v>46258</x:v>
      </x:c>
    </x:row>
    <x:row r="17" ht="48" customHeight="1">
      <x:c r="A17" s="62" t="str">
        <x:v>APP-006</x:v>
      </x:c>
      <x:c r="B17" s="70" t="str">
        <x:f>IF(F17="完了","☑","☐")</x:f>
        <x:v>☑</x:v>
      </x:c>
      <x:c r="C17" s="62" t="str">
        <x:v>アプリ本体・学習機能</x:v>
      </x:c>
      <x:c r="D17" s="62" t="str">
        <x:v>下書き</x:v>
      </x:c>
      <x:c r="E17" s="77" t="str">
        <x:v>下書き自動保存と復元を実装する</x:v>
      </x:c>
      <x:c r="F17" s="83" t="str">
        <x:v>完了</x:v>
      </x:c>
      <x:c r="G17" s="83" t="str">
        <x:v>P0</x:v>
      </x:c>
      <x:c r="H17" s="84" t="str">
        <x:v>未設定時のlocalStorageとログイン時のSupabase保存を共通サービス化し、500msの直列保存キューで競合を防止</x:v>
      </x:c>
      <x:c r="I17" s="84" t="str">
        <x:v>実DB接続後に再読込・高速入力・アカウント切替時の復元を確認</x:v>
      </x:c>
      <x:c r="J17" s="77" t="str">
        <x:v>再読込後も下書きが復元される</x:v>
      </x:c>
      <x:c r="K17" s="77" t="str">
        <x:v>web/src/lib/features/learning/learning-service.ts / web/src/lib/features/learning/save-queue.ts / web/src/routes/tasks/</x:v>
      </x:c>
      <x:c r="L17" s="172" t="n">
        <x:v>46259</x:v>
      </x:c>
    </x:row>
    <x:row r="18" ht="48" customHeight="1">
      <x:c r="A18" s="62" t="str">
        <x:v>APP-007</x:v>
      </x:c>
      <x:c r="B18" s="70" t="str">
        <x:f>IF(F18="完了","☑","☐")</x:f>
        <x:v>☐</x:v>
      </x:c>
      <x:c r="C18" s="62" t="str">
        <x:v>アプリ本体・学習機能</x:v>
      </x:c>
      <x:c r="D18" s="62" t="str">
        <x:v>提出</x:v>
      </x:c>
      <x:c r="E18" s="77" t="str">
        <x:v>正式提出・添削結果・書き直しを実装する</x:v>
      </x:c>
      <x:c r="F18" s="83" t="str">
        <x:v>進行中</x:v>
      </x:c>
      <x:c r="G18" s="83" t="str">
        <x:v>P0</x:v>
      </x:c>
      <x:c r="H18" s="84" t="str">
        <x:v>異なる問題を1問ずつ提出し、合否・連続合格・次問題・進級結果を表示。モック添削で動作確認済み</x:v>
      </x:c>
      <x:c r="I18" s="84" t="str">
        <x:v>Claude feedback Edge Functionと利用権検査へ置き換える</x:v>
      </x:c>
      <x:c r="J18" s="77" t="str">
        <x:v>提出状態と結果が永続化される</x:v>
      </x:c>
      <x:c r="K18" s="77" t="str">
        <x:v>web/src/routes/tasks/[taskId]/ / web/src/lib/features/learning/progression.ts</x:v>
      </x:c>
      <x:c r="L18" s="172" t="n">
        <x:v>46259</x:v>
      </x:c>
    </x:row>
    <x:row r="19" ht="48" customHeight="1">
      <x:c r="A19" s="62" t="str">
        <x:v>APP-008</x:v>
      </x:c>
      <x:c r="B19" s="70" t="str">
        <x:f>IF(F19="完了","☑","☐")</x:f>
        <x:v>☐</x:v>
      </x:c>
      <x:c r="C19" s="62" t="str">
        <x:v>アプリ本体・学習機能</x:v>
      </x:c>
      <x:c r="D19" s="62" t="str">
        <x:v>履歴・進捗</x:v>
      </x:c>
      <x:c r="E19" s="77" t="str">
        <x:v>提出履歴と学習進捗を表示する</x:v>
      </x:c>
      <x:c r="F19" s="83" t="str">
        <x:v>進行中</x:v>
      </x:c>
      <x:c r="G19" s="83" t="str">
        <x:v>P1</x:v>
      </x:c>
      <x:c r="H19" s="84" t="str">
        <x:v>現在段階、連続合格数、完了段階、問題履歴を表示し、必要連続合格回数を1〜10回で変更可能</x:v>
      </x:c>
      <x:c r="I19" s="84" t="str">
        <x:v>実Supabaseで複数端末の進捗同期を確認</x:v>
      </x:c>
      <x:c r="J19" s="77" t="str">
        <x:v>ユーザー自身の履歴だけが表示される</x:v>
      </x:c>
      <x:c r="K19" s="77" t="str">
        <x:v>web/src/routes/ / web/src/lib/features/learning/learning-service.ts</x:v>
      </x:c>
      <x:c r="L19" s="172" t="n">
        <x:v>46259</x:v>
      </x:c>
    </x:row>
    <x:row r="20" ht="48" customHeight="1">
      <x:c r="A20" s="62" t="str">
        <x:v>APP-009</x:v>
      </x:c>
      <x:c r="B20" s="70" t="str">
        <x:f>IF(F20="完了","☑","☐")</x:f>
        <x:v>☐</x:v>
      </x:c>
      <x:c r="C20" s="62" t="str">
        <x:v>アプリ本体・学習機能</x:v>
      </x:c>
      <x:c r="D20" s="62" t="str">
        <x:v>PWA</x:v>
      </x:c>
      <x:c r="E20" s="77" t="str">
        <x:v>manifest、アイコン、インストール対応を追加する</x:v>
      </x:c>
      <x:c r="F20" s="83" t="str">
        <x:v>進行中</x:v>
      </x:c>
      <x:c r="G20" s="83" t="str">
        <x:v>P2</x:v>
      </x:c>
      <x:c r="H20" s="84" t="str">
        <x:v>manifest、SVGアイコン、service workerを追加し、本番ビルドにservice-worker.jsが生成</x:v>
      </x:c>
      <x:c r="I20" s="84" t="str">
        <x:v>Cloudflareアダプター設定後に実端末でインストール確認</x:v>
      </x:c>
      <x:c r="J20" s="77" t="str">
        <x:v>インストール判定とアイコン表示が成功</x:v>
      </x:c>
      <x:c r="K20" s="77" t="str">
        <x:v>web/static/manifest.webmanifest / web/src/service-worker.ts</x:v>
      </x:c>
      <x:c r="L20" s="172" t="n">
        <x:v>46258</x:v>
      </x:c>
    </x:row>
    <x:row r="21" ht="48" customHeight="1">
      <x:c r="A21" s="62" t="str">
        <x:v>CUR-001</x:v>
      </x:c>
      <x:c r="B21" s="70" t="str">
        <x:f>IF(F21="完了","☑","☐")</x:f>
        <x:v>☑</x:v>
      </x:c>
      <x:c r="C21" s="62" t="str">
        <x:v>カリキュラム</x:v>
      </x:c>
      <x:c r="D21" s="62" t="str">
        <x:v>原本</x:v>
      </x:c>
      <x:c r="E21" s="77" t="str">
        <x:v>カリキュラムExcelを正本として配置する</x:v>
      </x:c>
      <x:c r="F21" s="83" t="str">
        <x:v>完了</x:v>
      </x:c>
      <x:c r="G21" s="83" t="str">
        <x:v>P0</x:v>
      </x:c>
      <x:c r="H21" s="84" t="str">
        <x:v>Git管理下に原本Excelがある。curriculum-designへ配置済み</x:v>
      </x:c>
      <x:c r="I21" s="84" t="str">
        <x:v>変更時は変換結果も更新</x:v>
      </x:c>
      <x:c r="J21" s="77" t="str">
        <x:v>Excelがリポジトリ内に存在する</x:v>
      </x:c>
      <x:c r="K21" s="77" t="str">
        <x:v>curriculum-design/小論文添削サービス_カリキュラム設計.xlsx</x:v>
      </x:c>
      <x:c r="L21" s="88" t="n">
        <x:v>46258</x:v>
      </x:c>
    </x:row>
    <x:row r="22" ht="48" customHeight="1">
      <x:c r="A22" s="62" t="str">
        <x:v>CUR-002</x:v>
      </x:c>
      <x:c r="B22" s="70" t="str">
        <x:f>IF(F22="完了","☑","☐")</x:f>
        <x:v>☑</x:v>
      </x:c>
      <x:c r="C22" s="62" t="str">
        <x:v>カリキュラム</x:v>
      </x:c>
      <x:c r="D22" s="62" t="str">
        <x:v>データ確認</x:v>
      </x:c>
      <x:c r="E22" s="77" t="str">
        <x:v>段階13の重複評価項目を確認・整理する</x:v>
      </x:c>
      <x:c r="F22" s="83" t="str">
        <x:v>完了</x:v>
      </x:c>
      <x:c r="G22" s="83" t="str">
        <x:v>P0</x:v>
      </x:c>
      <x:c r="H22" s="84" t="str">
        <x:v>段階13とAI指示設計の完全一致重複を3件ずつ確認。変換時に完全一致だけ除外する方針を設計正本へ記録</x:v>
      </x:c>
      <x:c r="I22" s="84" t="str">
        <x:v>次回の教育内容編集時に原本側の重複行も削除</x:v>
      </x:c>
      <x:c r="J22" s="77" t="str">
        <x:v>重複が解消または意図が記録される</x:v>
      </x:c>
      <x:c r="K22" s="77" t="str">
        <x:v>curriculum-design/小論文添削サービス_カリキュラム設計.xlsx / docs/architecture.md</x:v>
      </x:c>
      <x:c r="L22" s="172" t="n">
        <x:v>46258</x:v>
      </x:c>
    </x:row>
    <x:row r="23" ht="48" customHeight="1">
      <x:c r="A23" s="62" t="str">
        <x:v>CUR-003</x:v>
      </x:c>
      <x:c r="B23" s="70" t="str">
        <x:f>IF(F23="完了","☑","☐")</x:f>
        <x:v>☑</x:v>
      </x:c>
      <x:c r="C23" s="62" t="str">
        <x:v>カリキュラム</x:v>
      </x:c>
      <x:c r="D23" s="62" t="str">
        <x:v>変換</x:v>
      </x:c>
      <x:c r="E23" s="77" t="str">
        <x:v>ExcelからJSONへ変換するTypeScript処理を作る</x:v>
      </x:c>
      <x:c r="F23" s="83" t="str">
        <x:v>完了</x:v>
      </x:c>
      <x:c r="G23" s="83" t="str">
        <x:v>P0</x:v>
      </x:c>
      <x:c r="H23" s="84" t="str">
        <x:v>Excelを正規化して段階・ルーブリック・日本語チェックを決定的JSONへ変換するTypeScript処理を実装</x:v>
      </x:c>
      <x:c r="I23" s="84" t="str">
        <x:v>原本変更時はpnpm curriculum:buildを実行</x:v>
      </x:c>
      <x:c r="J23" s="77" t="str">
        <x:v>変換コマンドが正常終了する</x:v>
      </x:c>
      <x:c r="K23" s="77" t="str">
        <x:v>web/scripts/convert-curriculum.ts</x:v>
      </x:c>
      <x:c r="L23" s="172" t="n">
        <x:v>46258</x:v>
      </x:c>
    </x:row>
    <x:row r="24" ht="48" customHeight="1">
      <x:c r="A24" s="62" t="str">
        <x:v>CUR-004</x:v>
      </x:c>
      <x:c r="B24" s="70" t="str">
        <x:f>IF(F24="完了","☑","☐")</x:f>
        <x:v>☑</x:v>
      </x:c>
      <x:c r="C24" s="62" t="str">
        <x:v>カリキュラム</x:v>
      </x:c>
      <x:c r="D24" s="62" t="str">
        <x:v>検証</x:v>
      </x:c>
      <x:c r="E24" s="77" t="str">
        <x:v>生成JSONのスキーマと検証処理を作る</x:v>
      </x:c>
      <x:c r="F24" s="83" t="str">
        <x:v>完了</x:v>
      </x:c>
      <x:c r="G24" s="83" t="str">
        <x:v>P0</x:v>
      </x:c>
      <x:c r="H24" s="84" t="str">
        <x:v>段階0〜13、必須項目、重複識別子を検証し、不正データを拒否する処理とVitestを追加</x:v>
      </x:c>
      <x:c r="I24" s="84" t="str">
        <x:v>カリキュラム項目追加時に検証規則も更新</x:v>
      </x:c>
      <x:c r="J24" s="77" t="str">
        <x:v>不正な入力でテストが失敗する</x:v>
      </x:c>
      <x:c r="K24" s="77" t="str">
        <x:v>web/src/lib/data/curriculum.ts / web/src/lib/data/curriculum.test.ts</x:v>
      </x:c>
      <x:c r="L24" s="172" t="n">
        <x:v>46258</x:v>
      </x:c>
    </x:row>
    <x:row r="25" ht="48" customHeight="1">
      <x:c r="A25" s="62" t="str">
        <x:v>CUR-005</x:v>
      </x:c>
      <x:c r="B25" s="70" t="str">
        <x:f>IF(F25="完了","☑","☐")</x:f>
        <x:v>☑</x:v>
      </x:c>
      <x:c r="C25" s="62" t="str">
        <x:v>カリキュラム</x:v>
      </x:c>
      <x:c r="D25" s="62" t="str">
        <x:v>生成物</x:v>
      </x:c>
      <x:c r="E25" s="77" t="str">
        <x:v>アプリ用カリキュラムJSONを生成する</x:v>
      </x:c>
      <x:c r="F25" s="83" t="str">
        <x:v>完了</x:v>
      </x:c>
      <x:c r="G25" s="83" t="str">
        <x:v>P0</x:v>
      </x:c>
      <x:c r="H25" s="84" t="str">
        <x:v>段階1〜13の各10問、合計130問をcurriculum.jsonへ生成。ID・段階・話題重複を検証</x:v>
      </x:c>
      <x:c r="I25" s="84" t="str">
        <x:v>練習テーマ追加時にpractice-bankと検証テストを同時更新</x:v>
      </x:c>
      <x:c r="J25" s="77" t="str">
        <x:v>生成結果が検証を通る</x:v>
      </x:c>
      <x:c r="K25" s="77" t="str">
        <x:v>web/scripts/practice-bank.ts / web/src/lib/data/curriculum.json</x:v>
      </x:c>
      <x:c r="L25" s="172" t="n">
        <x:v>46259</x:v>
      </x:c>
    </x:row>
    <x:row r="26" ht="48" customHeight="1">
      <x:c r="A26" s="62" t="str">
        <x:v>CUR-006</x:v>
      </x:c>
      <x:c r="B26" s="70" t="str">
        <x:f>IF(F26="完了","☑","☐")</x:f>
        <x:v>☑</x:v>
      </x:c>
      <x:c r="C26" s="62" t="str">
        <x:v>カリキュラム</x:v>
      </x:c>
      <x:c r="D26" s="62" t="str">
        <x:v>画面連携</x:v>
      </x:c>
      <x:c r="E26" s="77" t="str">
        <x:v>カリキュラムJSONを課題画面へ接続する</x:v>
      </x:c>
      <x:c r="F26" s="83" t="str">
        <x:v>完了</x:v>
      </x:c>
      <x:c r="G26" s="83" t="str">
        <x:v>P0</x:v>
      </x:c>
      <x:c r="H26" s="84" t="str">
        <x:v>130問を現在段階の1問ずつへ接続し、全問使用後も直前と同じ問題を避ける</x:v>
      </x:c>
      <x:c r="I26" s="84" t="str">
        <x:v>本番問題追加時に話題キーと教育内容をレビュー</x:v>
      </x:c>
      <x:c r="J26" s="77" t="str">
        <x:v>Excel由来の課題が画面に出る</x:v>
      </x:c>
      <x:c r="K26" s="77" t="str">
        <x:v>web/src/lib/data/curriculum.ts / web/src/lib/features/learning/progression.ts / web/src/routes/tasks/</x:v>
      </x:c>
      <x:c r="L26" s="172" t="n">
        <x:v>46259</x:v>
      </x:c>
    </x:row>
    <x:row r="27" ht="48" customHeight="1">
      <x:c r="A27" s="62" t="str">
        <x:v>AUTH-001</x:v>
      </x:c>
      <x:c r="B27" s="70" t="str">
        <x:v>☑</x:v>
      </x:c>
      <x:c r="C27" s="62" t="str">
        <x:v>認証・アカウント</x:v>
      </x:c>
      <x:c r="D27" s="62" t="str">
        <x:v>仕様</x:v>
      </x:c>
      <x:c r="E27" s="77" t="str">
        <x:v>メール認証方式を確定する</x:v>
      </x:c>
      <x:c r="F27" s="83" t="str">
        <x:v>完了</x:v>
      </x:c>
      <x:c r="G27" s="83" t="str">
        <x:v>P0</x:v>
      </x:c>
      <x:c r="H27" s="84" t="str">
        <x:v>メール＋パスワード認証を採用。確認メール・再設定メールの導線も設計書へ記録</x:v>
      </x:c>
      <x:c r="I27" s="84" t="str">
        <x:v>Supabase DashboardでEmailとURL allow-listを設定し、実メールで確認</x:v>
      </x:c>
      <x:c r="J27" s="77" t="str">
        <x:v>認証導線が設計書に記録される</x:v>
      </x:c>
      <x:c r="K27" s="77" t="str">
        <x:v>docs/architecture.md / docs/supabase-local-setup.md</x:v>
      </x:c>
      <x:c r="L27" s="88" t="n">
        <x:v>46258</x:v>
      </x:c>
    </x:row>
    <x:row r="28" ht="48" customHeight="1">
      <x:c r="A28" s="62" t="str">
        <x:v>AUTH-002</x:v>
      </x:c>
      <x:c r="B28" s="70" t="str">
        <x:v>☑</x:v>
      </x:c>
      <x:c r="C28" s="62" t="str">
        <x:v>認証・アカウント</x:v>
      </x:c>
      <x:c r="D28" s="62" t="str">
        <x:v>Supabase</x:v>
      </x:c>
      <x:c r="E28" s="77" t="str">
        <x:v>開発用Supabaseプロジェクトを作成する</x:v>
      </x:c>
      <x:c r="F28" s="83" t="str">
        <x:v>完了</x:v>
      </x:c>
      <x:c r="G28" s="83" t="str">
        <x:v>P0</x:v>
      </x:c>
      <x:c r="H28" s="84" t="str">
        <x:v>開発用Supabaseプロジェクトを作成し、Project URLとPublishable keyを取得済み</x:v>
      </x:c>
      <x:c r="I28" s="84" t="str">
        <x:v>web/.env.localへ接続情報を設定して、開発サーバーを再起動</x:v>
      </x:c>
      <x:c r="J28" s="77" t="str">
        <x:v>ローカルから接続確認できる</x:v>
      </x:c>
      <x:c r="K28" s="77" t="str">
        <x:v>Supabase Dashboard / web/.env.local</x:v>
      </x:c>
      <x:c r="L28" s="88" t="n">
        <x:v>46258</x:v>
      </x:c>
    </x:row>
    <x:row r="29" ht="48" customHeight="1">
      <x:c r="A29" s="62" t="str">
        <x:v>AUTH-003</x:v>
      </x:c>
      <x:c r="B29" s="70" t="str">
        <x:v>☑</x:v>
      </x:c>
      <x:c r="C29" s="62" t="str">
        <x:v>認証・アカウント</x:v>
      </x:c>
      <x:c r="D29" s="62" t="str">
        <x:v>クライアント</x:v>
      </x:c>
      <x:c r="E29" s="77" t="str">
        <x:v>SvelteKitへSupabaseクライアントを接続する</x:v>
      </x:c>
      <x:c r="F29" s="83" t="str">
        <x:v>完了</x:v>
      </x:c>
      <x:c r="G29" s="83" t="str">
        <x:v>P0</x:v>
      </x:c>
      <x:c r="H29" s="84" t="str">
        <x:v>Supabaseクライアントを公開環境変数とDatabase型で初期化し、境界の型安全性を向上</x:v>
      </x:c>
      <x:c r="I29" s="84" t="str">
        <x:v>実接続後にセッション取得と型どおりの読書きを確認</x:v>
      </x:c>
      <x:c r="J29" s="77" t="str">
        <x:v>セッション取得が成功する</x:v>
      </x:c>
      <x:c r="K29" s="77" t="str">
        <x:v>web/src/lib/services/supabase.ts / web/src/lib/types/database.ts</x:v>
      </x:c>
      <x:c r="L29" s="88" t="n">
        <x:v>46259</x:v>
      </x:c>
    </x:row>
    <x:row r="30" ht="48" customHeight="1">
      <x:c r="A30" s="62" t="str">
        <x:v>AUTH-004</x:v>
      </x:c>
      <x:c r="B30" s="70" t="str">
        <x:v>☐</x:v>
      </x:c>
      <x:c r="C30" s="62" t="str">
        <x:v>認証・アカウント</x:v>
      </x:c>
      <x:c r="D30" s="62" t="str">
        <x:v>画面</x:v>
      </x:c>
      <x:c r="E30" s="77" t="str">
        <x:v>ログイン・ログアウト・認証完了画面を作る</x:v>
      </x:c>
      <x:c r="F30" s="83" t="str">
        <x:v>進行中</x:v>
      </x:c>
      <x:c r="G30" s="83" t="str">
        <x:v>P0</x:v>
      </x:c>
      <x:c r="H30" s="84" t="str">
        <x:v>登録・ログイン・ログアウト・確認メール・再設定メール・新パスワード設定画面まで実装</x:v>
      </x:c>
      <x:c r="I30" s="84" t="str">
        <x:v>Auth URL設定後、実メールで登録・確認・再設定・ログインを通し確認</x:v>
      </x:c>
      <x:c r="J30" s="77" t="str">
        <x:v>認証済みセッションを取得できる</x:v>
      </x:c>
      <x:c r="K30" s="77" t="str">
        <x:v>web/src/routes/account/ / web/src/lib/features/auth/auth-state.ts</x:v>
      </x:c>
      <x:c r="L30" s="88" t="n">
        <x:v>46259</x:v>
      </x:c>
    </x:row>
    <x:row r="31" ht="48" customHeight="1">
      <x:c r="A31" s="62" t="str">
        <x:v>AUTH-005</x:v>
      </x:c>
      <x:c r="B31" s="70" t="str">
        <x:f>IF(F31="完了","☑","☐")</x:f>
        <x:v>☐</x:v>
      </x:c>
      <x:c r="C31" s="62" t="str">
        <x:v>認証・アカウント</x:v>
      </x:c>
      <x:c r="D31" s="62" t="str">
        <x:v>制御</x:v>
      </x:c>
      <x:c r="E31" s="77" t="str">
        <x:v>未認証ユーザーのルート保護を実装する</x:v>
      </x:c>
      <x:c r="F31" s="83" t="str">
        <x:v>未着手</x:v>
      </x:c>
      <x:c r="G31" s="83" t="str">
        <x:v>P0</x:v>
      </x:c>
      <x:c r="H31" s="84" t="str">
        <x:v>学習データ画面を未認証で開けない。未実装</x:v>
      </x:c>
      <x:c r="I31" s="84" t="str">
        <x:v>SvelteKitフックとガードを追加</x:v>
      </x:c>
      <x:c r="J31" s="77" t="str">
        <x:v>未認証アクセスがログインへ移動する</x:v>
      </x:c>
      <x:c r="K31" s="77" t="str">
        <x:v>web/src/hooks.server.ts</x:v>
      </x:c>
      <x:c r="L31" s="88" t="n">
        <x:v>46258</x:v>
      </x:c>
    </x:row>
    <x:row r="32" ht="48" customHeight="1">
      <x:c r="A32" s="62" t="str">
        <x:v>AUTH-006</x:v>
      </x:c>
      <x:c r="B32" s="70" t="str">
        <x:f>IF(F32="完了","☑","☐")</x:f>
        <x:v>☐</x:v>
      </x:c>
      <x:c r="C32" s="62" t="str">
        <x:v>認証・アカウント</x:v>
      </x:c>
      <x:c r="D32" s="62" t="str">
        <x:v>プロフィール</x:v>
      </x:c>
      <x:c r="E32" s="77" t="str">
        <x:v>プロフィールとアカウント設定を実装する</x:v>
      </x:c>
      <x:c r="F32" s="83" t="str">
        <x:v>未着手</x:v>
      </x:c>
      <x:c r="G32" s="83" t="str">
        <x:v>P1</x:v>
      </x:c>
      <x:c r="H32" s="84" t="str">
        <x:v>表示名・退会要求等を扱える。DBテーブル初稿のみ</x:v>
      </x:c>
      <x:c r="I32" s="84" t="str">
        <x:v>画面と安全な更新APIを作る</x:v>
      </x:c>
      <x:c r="J32" s="77" t="str">
        <x:v>許可項目だけ更新できる</x:v>
      </x:c>
      <x:c r="K32" s="77" t="str">
        <x:v>web/src/lib/features/auth/</x:v>
      </x:c>
      <x:c r="L32" s="88" t="n">
        <x:v>46258</x:v>
      </x:c>
    </x:row>
    <x:row r="33" ht="48" customHeight="1">
      <x:c r="A33" s="62" t="str">
        <x:v>AUTH-007</x:v>
      </x:c>
      <x:c r="B33" s="70" t="str">
        <x:v>☑</x:v>
      </x:c>
      <x:c r="C33" s="62" t="str">
        <x:v>認証・アカウント</x:v>
      </x:c>
      <x:c r="D33" s="62" t="str">
        <x:v>権限</x:v>
      </x:c>
      <x:c r="E33" s="77" t="str">
        <x:v>学習者がadminロールへ変更できないようにする</x:v>
      </x:c>
      <x:c r="F33" s="83" t="str">
        <x:v>完了</x:v>
      </x:c>
      <x:c r="G33" s="83" t="str">
        <x:v>P0</x:v>
      </x:c>
      <x:c r="H33" s="84" t="str">
        <x:v>Supabase実DBで学習者のrole列更新を拒否し、管理者ポリシーだけを許可するRLSテストが成功</x:v>
      </x:c>
      <x:c r="I33" s="84" t="str">
        <x:v>管理者機能実装時にも同じ権限昇格テストを継続</x:v>
      </x:c>
      <x:c r="J33" s="77" t="str">
        <x:v>権限昇格テストが失敗する</x:v>
      </x:c>
      <x:c r="K33" s="77" t="str">
        <x:v>supabase/migrations/202608210001_initial_schema.sql / supabase/tests/learner_data_rls.sql</x:v>
      </x:c>
      <x:c r="L33" s="88" t="n">
        <x:v>46260</x:v>
      </x:c>
    </x:row>
    <x:row r="34" ht="48" customHeight="1">
      <x:c r="A34" s="62" t="str">
        <x:v>DB-001</x:v>
      </x:c>
      <x:c r="B34" s="70" t="str">
        <x:v>☑</x:v>
      </x:c>
      <x:c r="C34" s="62" t="str">
        <x:v>DB・権限</x:v>
      </x:c>
      <x:c r="D34" s="62" t="str">
        <x:v>スキーマ</x:v>
      </x:c>
      <x:c r="E34" s="77" t="str">
        <x:v>主要テーブルの初期スキーマを定義する</x:v>
      </x:c>
      <x:c r="F34" s="83" t="str">
        <x:v>完了</x:v>
      </x:c>
      <x:c r="G34" s="83" t="str">
        <x:v>P0</x:v>
      </x:c>
      <x:c r="H34" s="84" t="str">
        <x:v>最終設計の17テーブル、制約、3 RPC、明示的Data API権限をmigrationとして適用・検証済み</x:v>
      </x:c>
      <x:c r="I34" s="84" t="str">
        <x:v>今後のDB変更も新しいmigrationとして追加する</x:v>
      </x:c>
      <x:c r="J34" s="77" t="str">
        <x:v>最終設計の全テーブル・制約・RLS・RPCを含む初期マイグレーションが検証済み</x:v>
      </x:c>
      <x:c r="K34" s="77" t="str">
        <x:v>supabase/migrations/202608210001_initial_schema.sql / docs/architecture.md</x:v>
      </x:c>
      <x:c r="L34" s="88" t="n">
        <x:v>46260</x:v>
      </x:c>
    </x:row>
    <x:row r="35" ht="48" customHeight="1">
      <x:c r="A35" s="62" t="str">
        <x:v>DB-002</x:v>
      </x:c>
      <x:c r="B35" s="70" t="str">
        <x:v>☑</x:v>
      </x:c>
      <x:c r="C35" s="62" t="str">
        <x:v>DB・権限</x:v>
      </x:c>
      <x:c r="D35" s="62" t="str">
        <x:v>RLS</x:v>
      </x:c>
      <x:c r="E35" s="77" t="str">
        <x:v>各テーブルのRLS初稿を定義する</x:v>
      </x:c>
      <x:c r="F35" s="83" t="str">
        <x:v>完了</x:v>
      </x:c>
      <x:c r="G35" s="83" t="str">
        <x:v>P0</x:v>
      </x:c>
      <x:c r="H35" s="84" t="str">
        <x:v>全17テーブルでRLS有効。本人・別ユーザー・匿名・管理者・権限昇格拒否を実DBで検証済み</x:v>
      </x:c>
      <x:c r="I35" s="84" t="str">
        <x:v>実ユーザーE2Eでも画面経由の分離を確認する</x:v>
      </x:c>
      <x:c r="J35" s="77" t="str">
        <x:v>全ポリシーが権限テストを通る</x:v>
      </x:c>
      <x:c r="K35" s="77" t="str">
        <x:v>supabase/migrations/202608210001_initial_schema.sql / supabase/tests/learner_data_rls.sql</x:v>
      </x:c>
      <x:c r="L35" s="88" t="n">
        <x:v>46260</x:v>
      </x:c>
    </x:row>
    <x:row r="36" ht="48" customHeight="1">
      <x:c r="A36" s="62" t="str">
        <x:v>DB-003</x:v>
      </x:c>
      <x:c r="B36" s="70" t="str">
        <x:v>☑</x:v>
      </x:c>
      <x:c r="C36" s="62" t="str">
        <x:v>DB・権限</x:v>
      </x:c>
      <x:c r="D36" s="62" t="str">
        <x:v>マイグレーション</x:v>
      </x:c>
      <x:c r="E36" s="77" t="str">
        <x:v>開発用Supabaseへスキーマを適用する</x:v>
      </x:c>
      <x:c r="F36" s="83" t="str">
        <x:v>完了</x:v>
      </x:c>
      <x:c r="G36" s="83" t="str">
        <x:v>P0</x:v>
      </x:c>
      <x:c r="H36" s="84" t="str">
        <x:v>Supabase CLI 2.115.0をプロジェクトローカルに固定し、初期・セキュリティ強化migrationを開発DBへ適用。local/remote一致</x:v>
      </x:c>
      <x:c r="I36" s="84" t="str">
        <x:v>新しいmigrationごとにdry-run、push、RLSテストを実行する。既存remote関数の未使用変数2警告は次回関数置換時に除去する</x:v>
      </x:c>
      <x:c r="J36" s="77" t="str">
        <x:v>空の開発DBへ適用成功</x:v>
      </x:c>
      <x:c r="K36" s="77" t="str">
        <x:v>supabase/migrations/202608210001_initial_schema.sql / docs/supabase-local-setup.md</x:v>
      </x:c>
      <x:c r="L36" s="88" t="n">
        <x:v>46260</x:v>
      </x:c>
    </x:row>
    <x:row r="37" ht="48" customHeight="1">
      <x:c r="A37" s="62" t="str">
        <x:v>DB-004</x:v>
      </x:c>
      <x:c r="B37" s="70" t="str">
        <x:v>☑</x:v>
      </x:c>
      <x:c r="C37" s="62" t="str">
        <x:v>DB・権限</x:v>
      </x:c>
      <x:c r="D37" s="62" t="str">
        <x:v>テスト</x:v>
      </x:c>
      <x:c r="E37" s="77" t="str">
        <x:v>学習者・管理者・未認証のRLSテストを作る</x:v>
      </x:c>
      <x:c r="F37" s="83" t="str">
        <x:v>完了</x:v>
      </x:c>
      <x:c r="G37" s="83" t="str">
        <x:v>P0</x:v>
      </x:c>
      <x:c r="H37" s="84" t="str">
        <x:v>使い捨て2ユーザーをトランザクション内で作成し、許可・拒否、進級、段階復帰、冪等性を検証。全データをrollback</x:v>
      </x:c>
      <x:c r="I37" s="84" t="str">
        <x:v>認証済みブラウザE2Eを追加する</x:v>
      </x:c>
      <x:c r="J37" s="77" t="str">
        <x:v>許可・拒否ケースが全て成功</x:v>
      </x:c>
      <x:c r="K37" s="77" t="str">
        <x:v>supabase/tests/learner_data_rls.sql</x:v>
      </x:c>
      <x:c r="L37" s="88" t="n">
        <x:v>46260</x:v>
      </x:c>
    </x:row>
    <x:row r="38" ht="48" customHeight="1">
      <x:c r="A38" s="62" t="str">
        <x:v>DB-005</x:v>
      </x:c>
      <x:c r="B38" s="70" t="str">
        <x:v>☐</x:v>
      </x:c>
      <x:c r="C38" s="62" t="str">
        <x:v>DB・権限</x:v>
      </x:c>
      <x:c r="D38" s="62" t="str">
        <x:v>保存</x:v>
      </x:c>
      <x:c r="E38" s="77" t="str">
        <x:v>下書き・提出・添削・進捗をDBへ保存する</x:v>
      </x:c>
      <x:c r="F38" s="83" t="str">
        <x:v>進行中</x:v>
      </x:c>
      <x:c r="G38" s="83" t="str">
        <x:v>P0</x:v>
      </x:c>
      <x:c r="H38" s="84" t="str">
        <x:v>提出RPCの実DBテストで下書き削除、提出・添削・進捗の原子更新と二重送信防止を確認済み</x:v>
      </x:c>
      <x:c r="I38" s="84" t="str">
        <x:v>実ユーザーで下書き、再読込、別端末同期、設定保持をE2E確認する</x:v>
      </x:c>
      <x:c r="J38" s="77" t="str">
        <x:v>再読込後もデータが維持される</x:v>
      </x:c>
      <x:c r="K38" s="77" t="str">
        <x:v>supabase/migrations/202608210001_initial_schema.sql / web/src/lib/features/learning/learning-service.ts</x:v>
      </x:c>
      <x:c r="L38" s="88" t="n">
        <x:v>46260</x:v>
      </x:c>
    </x:row>
    <x:row r="39" ht="48" customHeight="1">
      <x:c r="A39" s="62" t="str">
        <x:v>DB-006</x:v>
      </x:c>
      <x:c r="B39" s="70" t="str">
        <x:f>IF(F39="完了","☑","☐")</x:f>
        <x:v>☐</x:v>
      </x:c>
      <x:c r="C39" s="62" t="str">
        <x:v>DB・権限</x:v>
      </x:c>
      <x:c r="D39" s="62" t="str">
        <x:v>データ運用</x:v>
      </x:c>
      <x:c r="E39" s="77" t="str">
        <x:v>保持期間・削除・バックアップ方針を実装する</x:v>
      </x:c>
      <x:c r="F39" s="83" t="str">
        <x:v>未着手</x:v>
      </x:c>
      <x:c r="G39" s="83" t="str">
        <x:v>P1</x:v>
      </x:c>
      <x:c r="H39" s="84" t="str">
        <x:v>退会・削除要求と復旧手順を扱える。方針未確定</x:v>
      </x:c>
      <x:c r="I39" s="84" t="str">
        <x:v>法務方針と合わせて設計</x:v>
      </x:c>
      <x:c r="J39" s="77" t="str">
        <x:v>手順と定期確認が文書化される</x:v>
      </x:c>
      <x:c r="K39" s="77" t="str">
        <x:v>docs/</x:v>
      </x:c>
      <x:c r="L39" s="88" t="n">
        <x:v>46258</x:v>
      </x:c>
    </x:row>
    <x:row r="40" ht="48" customHeight="1">
      <x:c r="A40" s="62" t="str">
        <x:v>AI-001</x:v>
      </x:c>
      <x:c r="B40" s="70" t="str">
        <x:f>IF(F40="完了","☑","☐")</x:f>
        <x:v>☑</x:v>
      </x:c>
      <x:c r="C40" s="62" t="str">
        <x:v>AI添削</x:v>
      </x:c>
      <x:c r="D40" s="62" t="str">
        <x:v>契約</x:v>
      </x:c>
      <x:c r="E40" s="77" t="str">
        <x:v>添削結果の共通型を定義する</x:v>
      </x:c>
      <x:c r="F40" s="83" t="str">
        <x:v>完了</x:v>
      </x:c>
      <x:c r="G40" s="83" t="str">
        <x:v>P1</x:v>
      </x:c>
      <x:c r="H40" s="84" t="str">
        <x:v>画面がモデル固有形式に依存しない。FeedbackResult型を定義済み</x:v>
      </x:c>
      <x:c r="I40" s="84" t="str">
        <x:v>JSON検証とAPIへ接続</x:v>
      </x:c>
      <x:c r="J40" s="77" t="str">
        <x:v>モック・実APIが同じ型を返す</x:v>
      </x:c>
      <x:c r="K40" s="77" t="str">
        <x:v>web/src/lib/types/contracts.ts</x:v>
      </x:c>
      <x:c r="L40" s="88" t="n">
        <x:v>46258</x:v>
      </x:c>
    </x:row>
    <x:row r="41" ht="48" customHeight="1">
      <x:c r="A41" s="62" t="str">
        <x:v>AI-002</x:v>
      </x:c>
      <x:c r="B41" s="70" t="str">
        <x:f>IF(F41="完了","☑","☐")</x:f>
        <x:v>☑</x:v>
      </x:c>
      <x:c r="C41" s="62" t="str">
        <x:v>AI添削</x:v>
      </x:c>
      <x:c r="D41" s="62" t="str">
        <x:v>モック</x:v>
      </x:c>
      <x:c r="E41" s="77" t="str">
        <x:v>固定データで添削表示を確認する</x:v>
      </x:c>
      <x:c r="F41" s="83" t="str">
        <x:v>完了</x:v>
      </x:c>
      <x:c r="G41" s="83" t="str">
        <x:v>P1</x:v>
      </x:c>
      <x:c r="H41" s="84" t="str">
        <x:v>AIなしで画面フローを確認。モック添削を表示可能</x:v>
      </x:c>
      <x:c r="I41" s="84" t="str">
        <x:v>状態遷移テストを追加</x:v>
      </x:c>
      <x:c r="J41" s="77" t="str">
        <x:v>入力後にモック結果が出る</x:v>
      </x:c>
      <x:c r="K41" s="77" t="str">
        <x:v>web/src/lib/features/learning/mock-data.ts</x:v>
      </x:c>
      <x:c r="L41" s="88" t="n">
        <x:v>46258</x:v>
      </x:c>
    </x:row>
    <x:row r="42" ht="48" customHeight="1">
      <x:c r="A42" s="62" t="str">
        <x:v>AI-003</x:v>
      </x:c>
      <x:c r="B42" s="70" t="str">
        <x:f>IF(F42="完了","☑","☐")</x:f>
        <x:v>☐</x:v>
      </x:c>
      <x:c r="C42" s="62" t="str">
        <x:v>AI添削</x:v>
      </x:c>
      <x:c r="D42" s="62" t="str">
        <x:v>Edge Function</x:v>
      </x:c>
      <x:c r="E42" s="77" t="str">
        <x:v>feedback Edge Functionを実装する</x:v>
      </x:c>
      <x:c r="F42" s="83" t="str">
        <x:v>未着手</x:v>
      </x:c>
      <x:c r="G42" s="83" t="str">
        <x:v>P0</x:v>
      </x:c>
      <x:c r="H42" s="84" t="str">
        <x:v>認証済み提出だけを添削。functionsディレクトリ未作成</x:v>
      </x:c>
      <x:c r="I42" s="84" t="str">
        <x:v>入力検証・AI呼出・保存を実装</x:v>
      </x:c>
      <x:c r="J42" s="77" t="str">
        <x:v>正常・異常ケースがテストを通る</x:v>
      </x:c>
      <x:c r="K42" s="77" t="str">
        <x:v>supabase/functions/feedback/</x:v>
      </x:c>
      <x:c r="L42" s="88" t="n">
        <x:v>46258</x:v>
      </x:c>
    </x:row>
    <x:row r="43" ht="48" customHeight="1">
      <x:c r="A43" s="62" t="str">
        <x:v>AI-004</x:v>
      </x:c>
      <x:c r="B43" s="70" t="str">
        <x:f>IF(F43="完了","☑","☐")</x:f>
        <x:v>☐</x:v>
      </x:c>
      <x:c r="C43" s="62" t="str">
        <x:v>AI添削</x:v>
      </x:c>
      <x:c r="D43" s="62" t="str">
        <x:v>プロバイダー</x:v>
      </x:c>
      <x:c r="E43" s="77" t="str">
        <x:v>Claudeと他モデルを差し替え可能にする</x:v>
      </x:c>
      <x:c r="F43" s="83" t="str">
        <x:v>未着手</x:v>
      </x:c>
      <x:c r="G43" s="83" t="str">
        <x:v>P1</x:v>
      </x:c>
      <x:c r="H43" s="84" t="str">
        <x:v>モデル固有処理を分離。設計方針のみ</x:v>
      </x:c>
      <x:c r="I43" s="84" t="str">
        <x:v>プロバイダーインターフェースを作る</x:v>
      </x:c>
      <x:c r="J43" s="77" t="str">
        <x:v>モックとClaudeを設定で切替可能</x:v>
      </x:c>
      <x:c r="K43" s="77" t="str">
        <x:v>supabase/functions/_shared/</x:v>
      </x:c>
      <x:c r="L43" s="88" t="n">
        <x:v>46258</x:v>
      </x:c>
    </x:row>
    <x:row r="44" ht="48" customHeight="1">
      <x:c r="A44" s="62" t="str">
        <x:v>AI-005</x:v>
      </x:c>
      <x:c r="B44" s="70" t="str">
        <x:f>IF(F44="完了","☑","☐")</x:f>
        <x:v>☐</x:v>
      </x:c>
      <x:c r="C44" s="62" t="str">
        <x:v>AI添削</x:v>
      </x:c>
      <x:c r="D44" s="62" t="str">
        <x:v>プロンプト</x:v>
      </x:c>
      <x:c r="E44" s="77" t="str">
        <x:v>ルーブリック・指示のバージョン管理を接続する</x:v>
      </x:c>
      <x:c r="F44" s="83" t="str">
        <x:v>未着手</x:v>
      </x:c>
      <x:c r="G44" s="83" t="str">
        <x:v>P0</x:v>
      </x:c>
      <x:c r="H44" s="84" t="str">
        <x:v>提出時の評価基準を追跡可能。DBテーブル初稿のみ</x:v>
      </x:c>
      <x:c r="I44" s="84" t="str">
        <x:v>カリキュラムJSONとDBを接続</x:v>
      </x:c>
      <x:c r="J44" s="77" t="str">
        <x:v>結果に使用バージョンが保存される</x:v>
      </x:c>
      <x:c r="K44" s="77" t="str">
        <x:v>supabase/ / curriculum-design/</x:v>
      </x:c>
      <x:c r="L44" s="88" t="n">
        <x:v>46258</x:v>
      </x:c>
    </x:row>
    <x:row r="45" ht="48" customHeight="1">
      <x:c r="A45" s="62" t="str">
        <x:v>AI-006</x:v>
      </x:c>
      <x:c r="B45" s="70" t="str">
        <x:f>IF(F45="完了","☑","☐")</x:f>
        <x:v>☐</x:v>
      </x:c>
      <x:c r="C45" s="62" t="str">
        <x:v>AI添削</x:v>
      </x:c>
      <x:c r="D45" s="62" t="str">
        <x:v>検証</x:v>
      </x:c>
      <x:c r="E45" s="77" t="str">
        <x:v>AI出力をJSON Schemaで検証する</x:v>
      </x:c>
      <x:c r="F45" s="83" t="str">
        <x:v>未着手</x:v>
      </x:c>
      <x:c r="G45" s="83" t="str">
        <x:v>P0</x:v>
      </x:c>
      <x:c r="H45" s="84" t="str">
        <x:v>不正形式を保存・表示しない。型定義のみ</x:v>
      </x:c>
      <x:c r="I45" s="84" t="str">
        <x:v>ランタイム検証と再試行を実装</x:v>
      </x:c>
      <x:c r="J45" s="77" t="str">
        <x:v>破損出力を安全に拒否できる</x:v>
      </x:c>
      <x:c r="K45" s="77" t="str">
        <x:v>supabase/functions/feedback/</x:v>
      </x:c>
      <x:c r="L45" s="88" t="n">
        <x:v>46258</x:v>
      </x:c>
    </x:row>
    <x:row r="46" ht="48" customHeight="1">
      <x:c r="A46" s="62" t="str">
        <x:v>AI-007</x:v>
      </x:c>
      <x:c r="B46" s="70" t="str">
        <x:f>IF(F46="完了","☑","☐")</x:f>
        <x:v>☐</x:v>
      </x:c>
      <x:c r="C46" s="62" t="str">
        <x:v>AI添削</x:v>
      </x:c>
      <x:c r="D46" s="62" t="str">
        <x:v>安全運用</x:v>
      </x:c>
      <x:c r="E46" s="77" t="str">
        <x:v>タイムアウト・再試行・レート制限を実装する</x:v>
      </x:c>
      <x:c r="F46" s="83" t="str">
        <x:v>未着手</x:v>
      </x:c>
      <x:c r="G46" s="83" t="str">
        <x:v>P1</x:v>
      </x:c>
      <x:c r="H46" s="84" t="str">
        <x:v>過負荷と重複課金を防止。未実装</x:v>
      </x:c>
      <x:c r="I46" s="84" t="str">
        <x:v>基本フロー完成後に追加</x:v>
      </x:c>
      <x:c r="J46" s="77" t="str">
        <x:v>障害時に安全なエラーを返す</x:v>
      </x:c>
      <x:c r="K46" s="77" t="str">
        <x:v>supabase/functions/feedback/</x:v>
      </x:c>
      <x:c r="L46" s="88" t="n">
        <x:v>46258</x:v>
      </x:c>
    </x:row>
    <x:row r="47" ht="48" customHeight="1">
      <x:c r="A47" s="62" t="str">
        <x:v>BILL-001</x:v>
      </x:c>
      <x:c r="B47" s="70" t="str">
        <x:f>IF(F47="完了","☑","☐")</x:f>
        <x:v>☑</x:v>
      </x:c>
      <x:c r="C47" s="62" t="str">
        <x:v>課金・利用権</x:v>
      </x:c>
      <x:c r="D47" s="62" t="str">
        <x:v>DB</x:v>
      </x:c>
      <x:c r="E47" s="77" t="str">
        <x:v>利用権・決済イベントテーブルを定義する</x:v>
      </x:c>
      <x:c r="F47" s="83" t="str">
        <x:v>完了</x:v>
      </x:c>
      <x:c r="G47" s="83" t="str">
        <x:v>P1</x:v>
      </x:c>
      <x:c r="H47" s="84" t="str">
        <x:v>Stripe詳細からアプリ利用権を分離。entitlementsとpayment_events初稿あり</x:v>
      </x:c>
      <x:c r="I47" s="84" t="str">
        <x:v>実装時に制約・索引を見直す</x:v>
      </x:c>
      <x:c r="J47" s="77" t="str">
        <x:v>利用権をDBで表現できる</x:v>
      </x:c>
      <x:c r="K47" s="77" t="str">
        <x:v>supabase/migrations/202608210001_initial_schema.sql</x:v>
      </x:c>
      <x:c r="L47" s="88" t="n">
        <x:v>46258</x:v>
      </x:c>
    </x:row>
    <x:row r="48" ht="48" customHeight="1">
      <x:c r="A48" s="62" t="str">
        <x:v>BILL-002</x:v>
      </x:c>
      <x:c r="B48" s="70" t="str">
        <x:f>IF(F48="完了","☑","☐")</x:f>
        <x:v>☐</x:v>
      </x:c>
      <x:c r="C48" s="62" t="str">
        <x:v>課金・利用権</x:v>
      </x:c>
      <x:c r="D48" s="62" t="str">
        <x:v>料金設計</x:v>
      </x:c>
      <x:c r="E48" s="77" t="str">
        <x:v>無料枠・価格・期限・提出上限を決める</x:v>
      </x:c>
      <x:c r="F48" s="83" t="str">
        <x:v>要確認</x:v>
      </x:c>
      <x:c r="G48" s="83" t="str">
        <x:v>P1</x:v>
      </x:c>
      <x:c r="H48" s="84" t="str">
        <x:v>提供プランと利用条件を確定。未決定</x:v>
      </x:c>
      <x:c r="I48" s="84" t="str">
        <x:v>学習機能完成後に原価と検証結果で決定</x:v>
      </x:c>
      <x:c r="J48" s="77" t="str">
        <x:v>料金表と利用権ルールが文書化される</x:v>
      </x:c>
      <x:c r="K48" s="77" t="str">
        <x:v>docs/architecture.md</x:v>
      </x:c>
      <x:c r="L48" s="88" t="n">
        <x:v>46258</x:v>
      </x:c>
    </x:row>
    <x:row r="49" ht="48" customHeight="1">
      <x:c r="A49" s="62" t="str">
        <x:v>BILL-003</x:v>
      </x:c>
      <x:c r="B49" s="70" t="str">
        <x:f>IF(F49="完了","☑","☐")</x:f>
        <x:v>☐</x:v>
      </x:c>
      <x:c r="C49" s="62" t="str">
        <x:v>課金・利用権</x:v>
      </x:c>
      <x:c r="D49" s="62" t="str">
        <x:v>Checkout</x:v>
      </x:c>
      <x:c r="E49" s="77" t="str">
        <x:v>Stripe Checkoutを作成する</x:v>
      </x:c>
      <x:c r="F49" s="83" t="str">
        <x:v>未着手</x:v>
      </x:c>
      <x:c r="G49" s="83" t="str">
        <x:v>P1</x:v>
      </x:c>
      <x:c r="H49" s="84" t="str">
        <x:v>サーバー側で安全に決済を開始。未実装</x:v>
      </x:c>
      <x:c r="I49" s="84" t="str">
        <x:v>create-checkout関数と画面を作る</x:v>
      </x:c>
      <x:c r="J49" s="77" t="str">
        <x:v>テスト決済を開始・完了できる</x:v>
      </x:c>
      <x:c r="K49" s="77" t="str">
        <x:v>supabase/functions/create-checkout/</x:v>
      </x:c>
      <x:c r="L49" s="88" t="n">
        <x:v>46258</x:v>
      </x:c>
    </x:row>
    <x:row r="50" ht="48" customHeight="1">
      <x:c r="A50" s="62" t="str">
        <x:v>BILL-004</x:v>
      </x:c>
      <x:c r="B50" s="70" t="str">
        <x:f>IF(F50="完了","☑","☐")</x:f>
        <x:v>☐</x:v>
      </x:c>
      <x:c r="C50" s="62" t="str">
        <x:v>課金・利用権</x:v>
      </x:c>
      <x:c r="D50" s="62" t="str">
        <x:v>Webhook</x:v>
      </x:c>
      <x:c r="E50" s="77" t="str">
        <x:v>Stripe Webhookで利用権を更新する</x:v>
      </x:c>
      <x:c r="F50" s="83" t="str">
        <x:v>未着手</x:v>
      </x:c>
      <x:c r="G50" s="83" t="str">
        <x:v>P1</x:v>
      </x:c>
      <x:c r="H50" s="84" t="str">
        <x:v>署名検証後にentitlementsへ反映。未実装</x:v>
      </x:c>
      <x:c r="I50" s="84" t="str">
        <x:v>stripe-webhook関数を作る</x:v>
      </x:c>
      <x:c r="J50" s="77" t="str">
        <x:v>再送を含め正しい利用権になる</x:v>
      </x:c>
      <x:c r="K50" s="77" t="str">
        <x:v>supabase/functions/stripe-webhook/</x:v>
      </x:c>
      <x:c r="L50" s="88" t="n">
        <x:v>46258</x:v>
      </x:c>
    </x:row>
    <x:row r="51" ht="48" customHeight="1">
      <x:c r="A51" s="62" t="str">
        <x:v>BILL-005</x:v>
      </x:c>
      <x:c r="B51" s="70" t="str">
        <x:f>IF(F51="完了","☑","☐")</x:f>
        <x:v>☐</x:v>
      </x:c>
      <x:c r="C51" s="62" t="str">
        <x:v>課金・利用権</x:v>
      </x:c>
      <x:c r="D51" s="62" t="str">
        <x:v>アプリ制御</x:v>
      </x:c>
      <x:c r="E51" s="77" t="str">
        <x:v>提出前に利用権をサーバー側で確認する</x:v>
      </x:c>
      <x:c r="F51" s="83" t="str">
        <x:v>未着手</x:v>
      </x:c>
      <x:c r="G51" s="83" t="str">
        <x:v>P1</x:v>
      </x:c>
      <x:c r="H51" s="84" t="str">
        <x:v>画面表示だけで制限しない。AccessState型のみ</x:v>
      </x:c>
      <x:c r="I51" s="84" t="str">
        <x:v>提出関数で利用権を検証</x:v>
      </x:c>
      <x:c r="J51" s="77" t="str">
        <x:v>無効な利用権では提出できない</x:v>
      </x:c>
      <x:c r="K51" s="77" t="str">
        <x:v>supabase/functions/feedback/</x:v>
      </x:c>
      <x:c r="L51" s="88" t="n">
        <x:v>46258</x:v>
      </x:c>
    </x:row>
    <x:row r="52" ht="48" customHeight="1">
      <x:c r="A52" s="62" t="str">
        <x:v>BILL-006</x:v>
      </x:c>
      <x:c r="B52" s="70" t="str">
        <x:f>IF(F52="完了","☑","☐")</x:f>
        <x:v>☐</x:v>
      </x:c>
      <x:c r="C52" s="62" t="str">
        <x:v>課金・利用権</x:v>
      </x:c>
      <x:c r="D52" s="62" t="str">
        <x:v>テスト</x:v>
      </x:c>
      <x:c r="E52" s="77" t="str">
        <x:v>決済再送・失敗・返金をテストする</x:v>
      </x:c>
      <x:c r="F52" s="83" t="str">
        <x:v>未着手</x:v>
      </x:c>
      <x:c r="G52" s="83" t="str">
        <x:v>P2</x:v>
      </x:c>
      <x:c r="H52" s="84" t="str">
        <x:v>冪等性と状態整合性を保証。未実装</x:v>
      </x:c>
      <x:c r="I52" s="84" t="str">
        <x:v>Stripeテスト環境でケースを作る</x:v>
      </x:c>
      <x:c r="J52" s="77" t="str">
        <x:v>重複イベントで二重反映しない</x:v>
      </x:c>
      <x:c r="K52" s="77" t="str">
        <x:v>supabase/functions/stripe-webhook/</x:v>
      </x:c>
      <x:c r="L52" s="88" t="n">
        <x:v>46258</x:v>
      </x:c>
    </x:row>
    <x:row r="53" ht="48" customHeight="1">
      <x:c r="A53" s="62" t="str">
        <x:v>ADM-001</x:v>
      </x:c>
      <x:c r="B53" s="70" t="str">
        <x:f>IF(F53="完了","☑","☐")</x:f>
        <x:v>☐</x:v>
      </x:c>
      <x:c r="C53" s="62" t="str">
        <x:v>管理者機能</x:v>
      </x:c>
      <x:c r="D53" s="62" t="str">
        <x:v>認証</x:v>
      </x:c>
      <x:c r="E53" s="77" t="str">
        <x:v>管理者専用ルートと権限制御を作る</x:v>
      </x:c>
      <x:c r="F53" s="83" t="str">
        <x:v>未着手</x:v>
      </x:c>
      <x:c r="G53" s="83" t="str">
        <x:v>P1</x:v>
      </x:c>
      <x:c r="H53" s="84" t="str">
        <x:v>学習者が管理画面へ入れない。DBにrole初稿のみ</x:v>
      </x:c>
      <x:c r="I53" s="84" t="str">
        <x:v>RLSとサーバーガードを実装</x:v>
      </x:c>
      <x:c r="J53" s="77" t="str">
        <x:v>学習者アクセスが拒否される</x:v>
      </x:c>
      <x:c r="K53" s="77" t="str">
        <x:v>web/src/lib/features/admin/</x:v>
      </x:c>
      <x:c r="L53" s="88" t="n">
        <x:v>46258</x:v>
      </x:c>
    </x:row>
    <x:row r="54" ht="48" customHeight="1">
      <x:c r="A54" s="62" t="str">
        <x:v>ADM-002</x:v>
      </x:c>
      <x:c r="B54" s="70" t="str">
        <x:f>IF(F54="完了","☑","☐")</x:f>
        <x:v>☐</x:v>
      </x:c>
      <x:c r="C54" s="62" t="str">
        <x:v>管理者機能</x:v>
      </x:c>
      <x:c r="D54" s="62" t="str">
        <x:v>教材管理</x:v>
      </x:c>
      <x:c r="E54" s="77" t="str">
        <x:v>課題・ルーブリック・指示を管理する</x:v>
      </x:c>
      <x:c r="F54" s="83" t="str">
        <x:v>未着手</x:v>
      </x:c>
      <x:c r="G54" s="83" t="str">
        <x:v>P1</x:v>
      </x:c>
      <x:c r="H54" s="84" t="str">
        <x:v>公開バージョンを安全に更新。DBテーブル初稿のみ</x:v>
      </x:c>
      <x:c r="I54" s="84" t="str">
        <x:v>まず読み取り画面から実装</x:v>
      </x:c>
      <x:c r="J54" s="77" t="str">
        <x:v>管理者だけが作成・公開できる</x:v>
      </x:c>
      <x:c r="K54" s="77" t="str">
        <x:v>web/src/lib/features/admin/</x:v>
      </x:c>
      <x:c r="L54" s="88" t="n">
        <x:v>46258</x:v>
      </x:c>
    </x:row>
    <x:row r="55" ht="48" customHeight="1">
      <x:c r="A55" s="62" t="str">
        <x:v>ADM-003</x:v>
      </x:c>
      <x:c r="B55" s="70" t="str">
        <x:f>IF(F55="完了","☑","☐")</x:f>
        <x:v>☐</x:v>
      </x:c>
      <x:c r="C55" s="62" t="str">
        <x:v>管理者機能</x:v>
      </x:c>
      <x:c r="D55" s="62" t="str">
        <x:v>ユーザー</x:v>
      </x:c>
      <x:c r="E55" s="77" t="str">
        <x:v>学習者・課題割当を管理する</x:v>
      </x:c>
      <x:c r="F55" s="83" t="str">
        <x:v>未着手</x:v>
      </x:c>
      <x:c r="G55" s="83" t="str">
        <x:v>P2</x:v>
      </x:c>
      <x:c r="H55" s="84" t="str">
        <x:v>割当・停止・確認が可能。DBテーブル初稿のみ</x:v>
      </x:c>
      <x:c r="I55" s="84" t="str">
        <x:v>少人数テスト前に実装</x:v>
      </x:c>
      <x:c r="J55" s="77" t="str">
        <x:v>管理者が割当を変更できる</x:v>
      </x:c>
      <x:c r="K55" s="77" t="str">
        <x:v>web/src/lib/features/admin/</x:v>
      </x:c>
      <x:c r="L55" s="88" t="n">
        <x:v>46258</x:v>
      </x:c>
    </x:row>
    <x:row r="56" ht="48" customHeight="1">
      <x:c r="A56" s="62" t="str">
        <x:v>ADM-004</x:v>
      </x:c>
      <x:c r="B56" s="70" t="str">
        <x:f>IF(F56="完了","☑","☐")</x:f>
        <x:v>☐</x:v>
      </x:c>
      <x:c r="C56" s="62" t="str">
        <x:v>管理者機能</x:v>
      </x:c>
      <x:c r="D56" s="62" t="str">
        <x:v>監査</x:v>
      </x:c>
      <x:c r="E56" s="77" t="str">
        <x:v>提出・添削・決済状態を確認する</x:v>
      </x:c>
      <x:c r="F56" s="83" t="str">
        <x:v>未着手</x:v>
      </x:c>
      <x:c r="G56" s="83" t="str">
        <x:v>P2</x:v>
      </x:c>
      <x:c r="H56" s="84" t="str">
        <x:v>問い合わせ時に状態を追跡可能。画面なし</x:v>
      </x:c>
      <x:c r="I56" s="84" t="str">
        <x:v>監査ログ方針と合わせて実装</x:v>
      </x:c>
      <x:c r="J56" s="77" t="str">
        <x:v>必要情報を権限付きで確認できる</x:v>
      </x:c>
      <x:c r="K56" s="77" t="str">
        <x:v>web/src/lib/features/admin/</x:v>
      </x:c>
      <x:c r="L56" s="88" t="n">
        <x:v>46258</x:v>
      </x:c>
    </x:row>
    <x:row r="57" ht="48" customHeight="1">
      <x:c r="A57" s="62" t="str">
        <x:v>MAIL-001</x:v>
      </x:c>
      <x:c r="B57" s="70" t="str">
        <x:f>IF(F57="完了","☑","☐")</x:f>
        <x:v>☐</x:v>
      </x:c>
      <x:c r="C57" s="62" t="str">
        <x:v>メール・通知</x:v>
      </x:c>
      <x:c r="D57" s="62" t="str">
        <x:v>サービス</x:v>
      </x:c>
      <x:c r="E57" s="77" t="str">
        <x:v>Resendアカウントと送信ドメインを準備する</x:v>
      </x:c>
      <x:c r="F57" s="83" t="str">
        <x:v>未着手</x:v>
      </x:c>
      <x:c r="G57" s="83" t="str">
        <x:v>P2</x:v>
      </x:c>
      <x:c r="H57" s="84" t="str">
        <x:v>本番メールの送信元を検証。未設定</x:v>
      </x:c>
      <x:c r="I57" s="84" t="str">
        <x:v>独自ドメイン決定後に設定</x:v>
      </x:c>
      <x:c r="J57" s="77" t="str">
        <x:v>ドメイン認証が完了</x:v>
      </x:c>
      <x:c r="K57" s="77" t="str">
        <x:v>Resend</x:v>
      </x:c>
      <x:c r="L57" s="88" t="n">
        <x:v>46258</x:v>
      </x:c>
    </x:row>
    <x:row r="58" ht="48" customHeight="1">
      <x:c r="A58" s="62" t="str">
        <x:v>MAIL-002</x:v>
      </x:c>
      <x:c r="B58" s="70" t="str">
        <x:f>IF(F58="完了","☑","☐")</x:f>
        <x:v>☐</x:v>
      </x:c>
      <x:c r="C58" s="62" t="str">
        <x:v>メール・通知</x:v>
      </x:c>
      <x:c r="D58" s="62" t="str">
        <x:v>認証メール</x:v>
      </x:c>
      <x:c r="E58" s="77" t="str">
        <x:v>Supabase Authの本番SMTPを設定する</x:v>
      </x:c>
      <x:c r="F58" s="83" t="str">
        <x:v>未着手</x:v>
      </x:c>
      <x:c r="G58" s="83" t="str">
        <x:v>P1</x:v>
      </x:c>
      <x:c r="H58" s="84" t="str">
        <x:v>認証メールを安定配信。未設定</x:v>
      </x:c>
      <x:c r="I58" s="84" t="str">
        <x:v>認証フロー完成後にResend接続</x:v>
      </x:c>
      <x:c r="J58" s="77" t="str">
        <x:v>認証メールが到達する</x:v>
      </x:c>
      <x:c r="K58" s="77" t="str">
        <x:v>Supabase Dashboard</x:v>
      </x:c>
      <x:c r="L58" s="88" t="n">
        <x:v>46258</x:v>
      </x:c>
    </x:row>
    <x:row r="59" ht="48" customHeight="1">
      <x:c r="A59" s="62" t="str">
        <x:v>MAIL-003</x:v>
      </x:c>
      <x:c r="B59" s="70" t="str">
        <x:f>IF(F59="完了","☑","☐")</x:f>
        <x:v>☐</x:v>
      </x:c>
      <x:c r="C59" s="62" t="str">
        <x:v>メール・通知</x:v>
      </x:c>
      <x:c r="D59" s="62" t="str">
        <x:v>通知</x:v>
      </x:c>
      <x:c r="E59" s="77" t="str">
        <x:v>決済・障害・重要通知メールを実装する</x:v>
      </x:c>
      <x:c r="F59" s="83" t="str">
        <x:v>未着手</x:v>
      </x:c>
      <x:c r="G59" s="83" t="str">
        <x:v>P2</x:v>
      </x:c>
      <x:c r="H59" s="84" t="str">
        <x:v>必要なイベントだけ通知。未実装</x:v>
      </x:c>
      <x:c r="I59" s="84" t="str">
        <x:v>イベント一覧とテンプレートを定義</x:v>
      </x:c>
      <x:c r="J59" s="77" t="str">
        <x:v>テスト送信と失敗処理が成功</x:v>
      </x:c>
      <x:c r="K59" s="77" t="str">
        <x:v>supabase/functions/</x:v>
      </x:c>
      <x:c r="L59" s="88" t="n">
        <x:v>46258</x:v>
      </x:c>
    </x:row>
    <x:row r="60" ht="48" customHeight="1">
      <x:c r="A60" s="62" t="str">
        <x:v>OPS-001</x:v>
      </x:c>
      <x:c r="B60" s="70" t="str">
        <x:f>IF(F60="完了","☑","☐")</x:f>
        <x:v>☐</x:v>
      </x:c>
      <x:c r="C60" s="62" t="str">
        <x:v>公開・セキュリティ</x:v>
      </x:c>
      <x:c r="D60" s="62" t="str">
        <x:v>Cloudflare</x:v>
      </x:c>
      <x:c r="E60" s="77" t="str">
        <x:v>SvelteKitのCloudflare用アダプターを設定する</x:v>
      </x:c>
      <x:c r="F60" s="83" t="str">
        <x:v>未着手</x:v>
      </x:c>
      <x:c r="G60" s="83" t="str">
        <x:v>P1</x:v>
      </x:c>
      <x:c r="H60" s="84" t="str">
        <x:v>本番ビルドをPages向けに生成。adapter-autoの警告あり</x:v>
      </x:c>
      <x:c r="I60" s="84" t="str">
        <x:v>主要画面完成後にアダプター追加</x:v>
      </x:c>
      <x:c r="J60" s="77" t="str">
        <x:v>Cloudflare向けbuildが成功</x:v>
      </x:c>
      <x:c r="K60" s="77" t="str">
        <x:v>web/svelte.config.js</x:v>
      </x:c>
      <x:c r="L60" s="88" t="n">
        <x:v>46258</x:v>
      </x:c>
    </x:row>
    <x:row r="61" ht="48" customHeight="1">
      <x:c r="A61" s="62" t="str">
        <x:v>OPS-002</x:v>
      </x:c>
      <x:c r="B61" s="70" t="str">
        <x:f>IF(F61="完了","☑","☐")</x:f>
        <x:v>☐</x:v>
      </x:c>
      <x:c r="C61" s="62" t="str">
        <x:v>公開・セキュリティ</x:v>
      </x:c>
      <x:c r="D61" s="62" t="str">
        <x:v>デプロイ</x:v>
      </x:c>
      <x:c r="E61" s="77" t="str">
        <x:v>Cloudflare Pagesへ開発版を公開する</x:v>
      </x:c>
      <x:c r="F61" s="83" t="str">
        <x:v>未着手</x:v>
      </x:c>
      <x:c r="G61" s="83" t="str">
        <x:v>P1</x:v>
      </x:c>
      <x:c r="H61" s="84" t="str">
        <x:v>GitHub連携で自動デプロイ。未設定</x:v>
      </x:c>
      <x:c r="I61" s="84" t="str">
        <x:v>Cloudflareプロジェクトを作る</x:v>
      </x:c>
      <x:c r="J61" s="77" t="str">
        <x:v>プレビューURLで動作する</x:v>
      </x:c>
      <x:c r="K61" s="77" t="str">
        <x:v>Cloudflare Pages</x:v>
      </x:c>
      <x:c r="L61" s="88" t="n">
        <x:v>46258</x:v>
      </x:c>
    </x:row>
    <x:row r="62" ht="48" customHeight="1">
      <x:c r="A62" s="62" t="str">
        <x:v>OPS-003</x:v>
      </x:c>
      <x:c r="B62" s="70" t="str">
        <x:f>IF(F62="完了","☑","☐")</x:f>
        <x:v>☐</x:v>
      </x:c>
      <x:c r="C62" s="62" t="str">
        <x:v>公開・セキュリティ</x:v>
      </x:c>
      <x:c r="D62" s="62" t="str">
        <x:v>秘密情報</x:v>
      </x:c>
      <x:c r="E62" s="77" t="str">
        <x:v>環境変数・APIキーを安全に登録する</x:v>
      </x:c>
      <x:c r="F62" s="83" t="str">
        <x:v>未着手</x:v>
      </x:c>
      <x:c r="G62" s="83" t="str">
        <x:v>P0</x:v>
      </x:c>
      <x:c r="H62" s="84" t="str">
        <x:v>秘密鍵をブラウザ・Gitへ出さない。.gitignoreと境界方針のみ</x:v>
      </x:c>
      <x:c r="I62" s="84" t="str">
        <x:v>Supabase・Cloudflare各環境へ登録</x:v>
      </x:c>
      <x:c r="J62" s="77" t="str">
        <x:v>リポジトリに秘密情報がない</x:v>
      </x:c>
      <x:c r="K62" s="77" t="str">
        <x:v>.env.example / Dashboard secrets</x:v>
      </x:c>
      <x:c r="L62" s="88" t="n">
        <x:v>46258</x:v>
      </x:c>
    </x:row>
    <x:row r="63" ht="48" customHeight="1">
      <x:c r="A63" s="62" t="str">
        <x:v>OPS-004</x:v>
      </x:c>
      <x:c r="B63" s="70" t="str">
        <x:f>IF(F63="完了","☑","☐")</x:f>
        <x:v>☐</x:v>
      </x:c>
      <x:c r="C63" s="62" t="str">
        <x:v>公開・セキュリティ</x:v>
      </x:c>
      <x:c r="D63" s="62" t="str">
        <x:v>ボット対策</x:v>
      </x:c>
      <x:c r="E63" s="77" t="str">
        <x:v>Cloudflare Turnstileを重要操作へ追加する</x:v>
      </x:c>
      <x:c r="F63" s="83" t="str">
        <x:v>未着手</x:v>
      </x:c>
      <x:c r="G63" s="83" t="str">
        <x:v>P2</x:v>
      </x:c>
      <x:c r="H63" s="84" t="str">
        <x:v>不正登録・大量送信を抑止。未実装</x:v>
      </x:c>
      <x:c r="I63" s="84" t="str">
        <x:v>認証・提出フロー完成後に追加</x:v>
      </x:c>
      <x:c r="J63" s="77" t="str">
        <x:v>サーバー側検証が成功</x:v>
      </x:c>
      <x:c r="K63" s="77" t="str">
        <x:v>web/ / supabase/functions/</x:v>
      </x:c>
      <x:c r="L63" s="88" t="n">
        <x:v>46258</x:v>
      </x:c>
    </x:row>
    <x:row r="64" ht="48" customHeight="1">
      <x:c r="A64" s="62" t="str">
        <x:v>OPS-005</x:v>
      </x:c>
      <x:c r="B64" s="70" t="str">
        <x:f>IF(F64="完了","☑","☐")</x:f>
        <x:v>☐</x:v>
      </x:c>
      <x:c r="C64" s="62" t="str">
        <x:v>公開・セキュリティ</x:v>
      </x:c>
      <x:c r="D64" s="62" t="str">
        <x:v>ドメイン</x:v>
      </x:c>
      <x:c r="E64" s="77" t="str">
        <x:v>独自ドメインと運営者情報を設定する</x:v>
      </x:c>
      <x:c r="F64" s="83" t="str">
        <x:v>要確認</x:v>
      </x:c>
      <x:c r="G64" s="83" t="str">
        <x:v>P2</x:v>
      </x:c>
      <x:c r="H64" s="84" t="str">
        <x:v>本番URLと送信ドメインを確定。未決定</x:v>
      </x:c>
      <x:c r="I64" s="84" t="str">
        <x:v>公開前にドメインを選定</x:v>
      </x:c>
      <x:c r="J64" s="77" t="str">
        <x:v>DNS・HTTPS・運営者表示が確認できる</x:v>
      </x:c>
      <x:c r="K64" s="77" t="str">
        <x:v>Cloudflare / docs/</x:v>
      </x:c>
      <x:c r="L64" s="88" t="n">
        <x:v>46258</x:v>
      </x:c>
    </x:row>
    <x:row r="65" ht="48" customHeight="1">
      <x:c r="A65" s="62" t="str">
        <x:v>OPS-006</x:v>
      </x:c>
      <x:c r="B65" s="70" t="str">
        <x:f>IF(F65="完了","☑","☐")</x:f>
        <x:v>☐</x:v>
      </x:c>
      <x:c r="C65" s="62" t="str">
        <x:v>公開・セキュリティ</x:v>
      </x:c>
      <x:c r="D65" s="62" t="str">
        <x:v>監視</x:v>
      </x:c>
      <x:c r="E65" s="77" t="str">
        <x:v>エラーログ・可用性・API費用を監視する</x:v>
      </x:c>
      <x:c r="F65" s="83" t="str">
        <x:v>未着手</x:v>
      </x:c>
      <x:c r="G65" s="83" t="str">
        <x:v>P2</x:v>
      </x:c>
      <x:c r="H65" s="84" t="str">
        <x:v>障害とコスト増加を検知。未実装</x:v>
      </x:c>
      <x:c r="I65" s="84" t="str">
        <x:v>公開前に最低限の監視を追加</x:v>
      </x:c>
      <x:c r="J65" s="77" t="str">
        <x:v>異常時に通知される</x:v>
      </x:c>
      <x:c r="K65" s="77" t="str">
        <x:v>docs/operations/</x:v>
      </x:c>
      <x:c r="L65" s="88" t="n">
        <x:v>46258</x:v>
      </x:c>
    </x:row>
    <x:row r="66" ht="48" customHeight="1">
      <x:c r="A66" s="62" t="str">
        <x:v>QA-001</x:v>
      </x:c>
      <x:c r="B66" s="70" t="str">
        <x:f>IF(F66="完了","☑","☐")</x:f>
        <x:v>☑</x:v>
      </x:c>
      <x:c r="C66" s="62" t="str">
        <x:v>テスト・運用・法務</x:v>
      </x:c>
      <x:c r="D66" s="62" t="str">
        <x:v>単体テスト</x:v>
      </x:c>
      <x:c r="E66" s="77" t="str">
        <x:v>Vitestで学習ルールと変換処理をテストする</x:v>
      </x:c>
      <x:c r="F66" s="83" t="str">
        <x:v>完了</x:v>
      </x:c>
      <x:c r="G66" s="83" t="str">
        <x:v>P0</x:v>
      </x:c>
      <x:c r="H66" s="84" t="str">
        <x:v>無制限出題、旧データ移行、進級、未提出再表示、複数ベクトル、同一問題・同一送信IDの二重計上防止を5ファイル26テストで検証</x:v>
      </x:c>
      <x:c r="I66" s="84" t="str">
        <x:v>機能追加ごとに回帰テストを増やす</x:v>
      </x:c>
      <x:c r="J66" s="77" t="str">
        <x:v>主要ロジックのテストがCIで成功</x:v>
      </x:c>
      <x:c r="K66" s="77" t="str">
        <x:v>web/src/**/*.test.ts / .github/workflows/verify.yml</x:v>
      </x:c>
      <x:c r="L66" s="88" t="n">
        <x:v>46260</x:v>
      </x:c>
    </x:row>
    <x:row r="67" ht="48" customHeight="1">
      <x:c r="A67" s="62" t="str">
        <x:v>QA-002</x:v>
      </x:c>
      <x:c r="B67" s="70" t="str">
        <x:f>IF(F67="完了","☑","☐")</x:f>
        <x:v>☐</x:v>
      </x:c>
      <x:c r="C67" s="62" t="str">
        <x:v>テスト・運用・法務</x:v>
      </x:c>
      <x:c r="D67" s="62" t="str">
        <x:v>画面テスト</x:v>
      </x:c>
      <x:c r="E67" s="77" t="str">
        <x:v>Testing Libraryで主要操作をテストする</x:v>
      </x:c>
      <x:c r="F67" s="83" t="str">
        <x:v>未着手</x:v>
      </x:c>
      <x:c r="G67" s="83" t="str">
        <x:v>P1</x:v>
      </x:c>
      <x:c r="H67" s="84" t="str">
        <x:v>入力・提出・結果表示を自動確認。未導入</x:v>
      </x:c>
      <x:c r="I67" s="84" t="str">
        <x:v>画面分割と合わせて追加</x:v>
      </x:c>
      <x:c r="J67" s="77" t="str">
        <x:v>重要コンポーネントのテストが成功</x:v>
      </x:c>
      <x:c r="K67" s="77" t="str">
        <x:v>web/src/</x:v>
      </x:c>
      <x:c r="L67" s="88" t="n">
        <x:v>46258</x:v>
      </x:c>
    </x:row>
    <x:row r="68" ht="48" customHeight="1">
      <x:c r="A68" s="62" t="str">
        <x:v>QA-003</x:v>
      </x:c>
      <x:c r="B68" s="70" t="str">
        <x:f>IF(F68="完了","☑","☐")</x:f>
        <x:v>☐</x:v>
      </x:c>
      <x:c r="C68" s="62" t="str">
        <x:v>テスト・運用・法務</x:v>
      </x:c>
      <x:c r="D68" s="62" t="str">
        <x:v>E2E</x:v>
      </x:c>
      <x:c r="E68" s="77" t="str">
        <x:v>Playwrightで学習フローを通しテストする</x:v>
      </x:c>
      <x:c r="F68" s="83" t="str">
        <x:v>未着手</x:v>
      </x:c>
      <x:c r="G68" s="83" t="str">
        <x:v>P1</x:v>
      </x:c>
      <x:c r="H68" s="84" t="str">
        <x:v>ログインから結果確認まで自動化。未導入</x:v>
      </x:c>
      <x:c r="I68" s="84" t="str">
        <x:v>認証・DB接続後に追加</x:v>
      </x:c>
      <x:c r="J68" s="77" t="str">
        <x:v>主要シナリオがCIで成功</x:v>
      </x:c>
      <x:c r="K68" s="77" t="str">
        <x:v>web/e2e/</x:v>
      </x:c>
      <x:c r="L68" s="88" t="n">
        <x:v>46258</x:v>
      </x:c>
    </x:row>
    <x:row r="69" ht="48" customHeight="1">
      <x:c r="A69" s="62" t="str">
        <x:v>QA-004</x:v>
      </x:c>
      <x:c r="B69" s="70" t="str">
        <x:f>IF(F69="完了","☑","☐")</x:f>
        <x:v>☐</x:v>
      </x:c>
      <x:c r="C69" s="62" t="str">
        <x:v>テスト・運用・法務</x:v>
      </x:c>
      <x:c r="D69" s="62" t="str">
        <x:v>品質</x:v>
      </x:c>
      <x:c r="E69" s="77" t="str">
        <x:v>スマホ・アクセシビリティ・性能を確認する</x:v>
      </x:c>
      <x:c r="F69" s="83" t="str">
        <x:v>未着手</x:v>
      </x:c>
      <x:c r="G69" s="83" t="str">
        <x:v>P1</x:v>
      </x:c>
      <x:c r="H69" s="84" t="str">
        <x:v>主要端末で使いやすく高速。レスポンシブCSS初稿のみ</x:v>
      </x:c>
      <x:c r="I69" s="84" t="str">
        <x:v>主要画面完成後に計測・修正</x:v>
      </x:c>
      <x:c r="J69" s="77" t="str">
        <x:v>基準と確認結果が記録される</x:v>
      </x:c>
      <x:c r="K69" s="77" t="str">
        <x:v>docs/quality/</x:v>
      </x:c>
      <x:c r="L69" s="88" t="n">
        <x:v>46258</x:v>
      </x:c>
    </x:row>
    <x:row r="70" ht="48" customHeight="1">
      <x:c r="A70" s="62" t="str">
        <x:v>QA-005</x:v>
      </x:c>
      <x:c r="B70" s="70" t="str">
        <x:f>IF(F70="完了","☑","☐")</x:f>
        <x:v>☐</x:v>
      </x:c>
      <x:c r="C70" s="62" t="str">
        <x:v>テスト・運用・法務</x:v>
      </x:c>
      <x:c r="D70" s="62" t="str">
        <x:v>法務</x:v>
      </x:c>
      <x:c r="E70" s="77" t="str">
        <x:v>利用規約・プライバシー・未成年対応を整備する</x:v>
      </x:c>
      <x:c r="F70" s="83" t="str">
        <x:v>要確認</x:v>
      </x:c>
      <x:c r="G70" s="83" t="str">
        <x:v>P1</x:v>
      </x:c>
      <x:c r="H70" s="84" t="str">
        <x:v>公開に必要な表示と同意を準備。未決定</x:v>
      </x:c>
      <x:c r="I70" s="84" t="str">
        <x:v>データ保持方針・運営者情報と合わせて作成</x:v>
      </x:c>
      <x:c r="J70" s="77" t="str">
        <x:v>公開画面から文書を確認できる</x:v>
      </x:c>
      <x:c r="K70" s="77" t="str">
        <x:v>docs/legal/</x:v>
      </x:c>
      <x:c r="L70" s="88" t="n">
        <x:v>46258</x:v>
      </x:c>
    </x:row>
    <x:row r="71" ht="48" customHeight="1">
      <x:c r="A71" s="64" t="str">
        <x:v>QA-006</x:v>
      </x:c>
      <x:c r="B71" s="71" t="str">
        <x:f>IF(F71="完了","☑","☐")</x:f>
        <x:v>☐</x:v>
      </x:c>
      <x:c r="C71" s="64" t="str">
        <x:v>テスト・運用・法務</x:v>
      </x:c>
      <x:c r="D71" s="64" t="str">
        <x:v>試験運用</x:v>
      </x:c>
      <x:c r="E71" s="79" t="str">
        <x:v>少人数テストと一般公開判定を行う</x:v>
      </x:c>
      <x:c r="F71" s="85" t="str">
        <x:v>未着手</x:v>
      </x:c>
      <x:c r="G71" s="85" t="str">
        <x:v>P2</x:v>
      </x:c>
      <x:c r="H71" s="86" t="str">
        <x:v>実利用で問題とコストを確認。未実施</x:v>
      </x:c>
      <x:c r="I71" s="86" t="str">
        <x:v>主要機能・監視・法務完了後に開始</x:v>
      </x:c>
      <x:c r="J71" s="79" t="str">
        <x:v>テスト結果と公開判断が記録される</x:v>
      </x:c>
      <x:c r="K71" s="79" t="str">
        <x:v>docs/operations/</x:v>
      </x:c>
      <x:c r="L71" s="89" t="n">
        <x:v>46258</x:v>
      </x:c>
    </x:row>
    <x:row r="72">
      <x:c r="A72" t="str">
        <x:v>ENV-008</x:v>
      </x:c>
      <x:c r="B72" t="str">
        <x:f>IF(F72="完了","☑","☐")</x:f>
        <x:v>☑</x:v>
      </x:c>
      <x:c r="C72" t="str">
        <x:v>基盤・開発環境</x:v>
      </x:c>
      <x:c r="D72" t="str">
        <x:v>進捗管理</x:v>
      </x:c>
      <x:c r="E72" t="str">
        <x:v>開発進捗Excelの日次活動管理を廃止する</x:v>
      </x:c>
      <x:c r="F72" t="str">
        <x:v>完了</x:v>
      </x:c>
      <x:c r="G72" t="str">
        <x:v>P1</x:v>
      </x:c>
      <x:c r="H72" t="str">
        <x:v>2026-08-25の方針変更により、開発進捗Excelの日次活動シートと作業時間集計を削除</x:v>
      </x:c>
      <x:c r="I72" t="str">
        <x:v>作業単位の更新履歴だけを継続し、日次・作業時間は記録しない</x:v>
      </x:c>
      <x:c r="J72" t="str">
        <x:v>日次活動シートと作業時間欄がなく、更新ルールにも日次記録がない</x:v>
      </x:c>
      <x:c r="K72" t="str">
        <x:v>開発進捗管理.xlsx / AGENTS.md</x:v>
      </x:c>
      <x:c r="L72" s="92" t="n">
        <x:v>46259</x:v>
      </x:c>
    </x:row>
    <x:row r="73">
      <x:c r="A73" t="str">
        <x:v>APP-010</x:v>
      </x:c>
      <x:c r="B73" t="str">
        <x:f>IF(F73="完了","☑","☐")</x:f>
        <x:v>☑</x:v>
      </x:c>
      <x:c r="C73" t="str">
        <x:v>アプリ本体・学習機能</x:v>
      </x:c>
      <x:c r="D73" t="str">
        <x:v>活動履歴・仕様</x:v>
      </x:c>
      <x:c r="E73" t="str">
        <x:v>学習活動として数える基準と緑色の段階を決める</x:v>
      </x:c>
      <x:c r="F73" t="str">
        <x:v>完了</x:v>
      </x:c>
      <x:c r="G73" t="str">
        <x:v>P1</x:v>
      </x:c>
      <x:c r="H73" t="str">
        <x:v>モック添削への提出を1活動とし、自動保存は除外。1〜4件以上で緑を濃くする年次表示を設計正本へ記録</x:v>
      </x:c>
      <x:c r="I73" t="str">
        <x:v>Supabase実装時も同じ活動定義を維持できるか確認</x:v>
      </x:c>
      <x:c r="J73" t="str">
        <x:v>活動イベント、日次集計単位、色の段階、表示年の仕様が記録される</x:v>
      </x:c>
      <x:c r="K73" t="str">
        <x:v>docs/architecture.md</x:v>
      </x:c>
      <x:c r="L73" s="92" t="n">
        <x:v>46258</x:v>
      </x:c>
    </x:row>
    <x:row r="74">
      <x:c r="A74" t="str">
        <x:v>APP-011</x:v>
      </x:c>
      <x:c r="B74" t="str">
        <x:f>IF(F74="完了","☑","☐")</x:f>
        <x:v>☑</x:v>
      </x:c>
      <x:c r="C74" t="str">
        <x:v>アプリ本体・学習機能</x:v>
      </x:c>
      <x:c r="D74" t="str">
        <x:v>活動履歴・画面</x:v>
      </x:c>
      <x:c r="E74" t="str">
        <x:v>学習者向けGitHub風の日次活動グリッドを表示する</x:v>
      </x:c>
      <x:c r="F74" t="str">
        <x:v>完了</x:v>
      </x:c>
      <x:c r="G74" t="str">
        <x:v>P1</x:v>
      </x:c>
      <x:c r="H74" t="str">
        <x:v>提出履歴から学習者向け年次活動グリッドを表示し、ローカル・Supabaseのどちらでも同じ提出データを利用</x:v>
      </x:c>
      <x:c r="I74" t="str">
        <x:v>実DB接続後に年境界と複数端末で表示を確認</x:v>
      </x:c>
      <x:c r="J74" t="str">
        <x:v>本人の活動だけが年単位で表示され、スマホでも日付と活動量を確認できる</x:v>
      </x:c>
      <x:c r="K74" t="str">
        <x:v>web/src/lib/components/ActivityGrid.svelte / web/src/routes/progress/</x:v>
      </x:c>
      <x:c r="L74" s="92" t="n">
        <x:v>46259</x:v>
      </x:c>
    </x:row>
    <x:row r="75">
      <x:c r="A75" t="str">
        <x:v>DB-007</x:v>
      </x:c>
      <x:c r="B75" t="str">
        <x:f>IF(F75="完了","☑","☐")</x:f>
        <x:v>☑</x:v>
      </x:c>
      <x:c r="C75" t="str">
        <x:v>DB・権限</x:v>
      </x:c>
      <x:c r="D75" t="str">
        <x:v>活動履歴・集計</x:v>
      </x:c>
      <x:c r="E75" t="str">
        <x:v>ユーザー別の学習活動を保存し日単位で安全に集計する</x:v>
      </x:c>
      <x:c r="F75" t="str">
        <x:v>完了</x:v>
      </x:c>
      <x:c r="G75" t="str">
        <x:v>P1</x:v>
      </x:c>
      <x:c r="H75" t="str">
        <x:v>別の活動テーブルは作らず、RLSで本人だけ取得できるsubmissionsのsubmitted_atを日別集計する構成に決定・実装</x:v>
      </x:c>
      <x:c r="I75" t="str">
        <x:v>データ量増加時に年単位取得またはDB集計の必要性を評価</x:v>
      </x:c>
      <x:c r="J75" t="str">
        <x:v>RLSで本人の活動だけを取得でき、日付別集計が重複なく返る</x:v>
      </x:c>
      <x:c r="K75" t="str">
        <x:v>web/src/lib/features/learning/learning-service.ts / web/src/lib/features/learning/local-store.ts</x:v>
      </x:c>
      <x:c r="L75" s="92" t="n">
        <x:v>46259</x:v>
      </x:c>
    </x:row>
    <x:row r="76">
      <x:c r="A76" t="str">
        <x:v>QA-007</x:v>
      </x:c>
      <x:c r="B76" t="str">
        <x:f>IF(F76="完了","☑","☐")</x:f>
        <x:v>☐</x:v>
      </x:c>
      <x:c r="C76" t="str">
        <x:v>テスト・運用・法務</x:v>
      </x:c>
      <x:c r="D76" t="str">
        <x:v>活動履歴テスト</x:v>
      </x:c>
      <x:c r="E76" t="str">
        <x:v>日次活動の集計・権限・グリッド表示をテストする</x:v>
      </x:c>
      <x:c r="F76" t="str">
        <x:v>進行中</x:v>
      </x:c>
      <x:c r="G76" t="str">
        <x:v>P1</x:v>
      </x:c>
      <x:c r="H76" t="str">
        <x:v>ローカル集計に加え、実DBで本人・別ユーザー・匿名・管理者のRLSを検証済み</x:v>
      </x:c>
      <x:c r="I76" t="str">
        <x:v>年境界・タイムゾーンと画面表示をE2Eへ追加する</x:v>
      </x:c>
      <x:c r="J76" t="str">
        <x:v>主要境界条件と権限ケースがCIで成功する</x:v>
      </x:c>
      <x:c r="K76" t="str">
        <x:v>web/src/lib/features/learning/local-store.test.ts / supabase/tests/learner_data_rls.sql</x:v>
      </x:c>
      <x:c r="L76" s="92" t="n">
        <x:v>46260</x:v>
      </x:c>
    </x:row>
    <x:row r="77">
      <x:c r="A77" t="str">
        <x:v>CUR-007</x:v>
      </x:c>
      <x:c r="B77" t="str">
        <x:f>IF(F77="完了","☑","☐")</x:f>
        <x:v>☑</x:v>
      </x:c>
      <x:c r="C77" t="str">
        <x:v>カリキュラム</x:v>
      </x:c>
      <x:c r="D77" t="str">
        <x:v>問題バンク・出題</x:v>
      </x:c>
      <x:c r="E77" t="str">
        <x:v>各段階で異なる問題を履歴に基づいて循環出題する</x:v>
      </x:c>
      <x:c r="F77" t="str">
        <x:v>完了</x:v>
      </x:c>
      <x:c r="G77" t="str">
        <x:v>P0</x:v>
      </x:c>
      <x:c r="H77" t="str">
        <x:v>固定130問ではなく、既存10問/段階は問題生成テンプレートとして利用。提示問題数の上限を廃止</x:v>
      </x:c>
      <x:c r="I77" t="str">
        <x:v>Claude生成追加時もテンプレートと特徴軸を教育面からレビュー</x:v>
      </x:c>
      <x:c r="J77" t="str">
        <x:v>同じ段階で未出題が優先され、直前と同一問題が連続しない</x:v>
      </x:c>
      <x:c r="K77" t="str">
        <x:v>web/scripts/practice-bank.ts / web/src/lib/features/learning/problem-generator.ts</x:v>
      </x:c>
      <x:c r="L77" s="92" t="n">
        <x:v>46259</x:v>
      </x:c>
    </x:row>
    <x:row r="78">
      <x:c r="A78" t="str">
        <x:v>APP-012</x:v>
      </x:c>
      <x:c r="B78" t="str">
        <x:f>IF(F78="完了","☑","☐")</x:f>
        <x:v>☑</x:v>
      </x:c>
      <x:c r="C78" t="str">
        <x:v>アプリ本体・学習機能</x:v>
      </x:c>
      <x:c r="D78" t="str">
        <x:v>段階進級・設定</x:v>
      </x:c>
      <x:c r="E78" t="str">
        <x:v>連続合格で進級し必要回数を学習者が調整できるようにする</x:v>
      </x:c>
      <x:c r="F78" t="str">
        <x:v>完了</x:v>
      </x:c>
      <x:c r="G78" t="str">
        <x:v>P0</x:v>
      </x:c>
      <x:c r="H78" t="str">
        <x:v>現在段階と最高到達段階を分離。到達済み段階への往復に加え、同じ問題は送信IDが異なっても1回だけ進級判定へ計上</x:v>
      </x:c>
      <x:c r="I78" t="str">
        <x:v>実Supabaseで段階往復・二重送信防止・複数端末同期を確認</x:v>
      </x:c>
      <x:c r="J78" t="str">
        <x:v>設定が保存され、条件達成時だけ次段階へ進む</x:v>
      </x:c>
      <x:c r="K78" t="str">
        <x:v>web/src/lib/features/learning/progression.ts / web/src/routes/progress/</x:v>
      </x:c>
      <x:c r="L78" s="55" t="n">
        <x:v>46260</x:v>
      </x:c>
    </x:row>
    <x:row r="79">
      <x:c r="A79" t="str">
        <x:v>DB-008</x:v>
      </x:c>
      <x:c r="B79" t="str">
        <x:v>☑</x:v>
      </x:c>
      <x:c r="C79" t="str">
        <x:v>DB・権限</x:v>
      </x:c>
      <x:c r="D79" t="str">
        <x:v>段階進捗</x:v>
      </x:c>
      <x:c r="E79" t="str">
        <x:v>連続合格・現在段階・修了状態を安全に永続化する</x:v>
      </x:c>
      <x:c r="F79" t="str">
        <x:v>完了</x:v>
      </x:c>
      <x:c r="G79" t="str">
        <x:v>P0</x:v>
      </x:c>
      <x:c r="H79" t="str">
        <x:v>実DBで3回連続合格、進級、到達済み段階への復帰、同一問題の二重加算拒否を検証済み</x:v>
      </x:c>
      <x:c r="I79" t="str">
        <x:v>実ユーザーの複数端末同期をE2Eで確認する</x:v>
      </x:c>
      <x:c r="J79" t="str">
        <x:v>二重送信で加算されず、別段階提出と進捗改ざんが拒否される</x:v>
      </x:c>
      <x:c r="K79" t="str">
        <x:v>supabase/migrations/202608210001_initial_schema.sql / supabase/tests/learner_data_rls.sql</x:v>
      </x:c>
      <x:c r="L79" s="55" t="n">
        <x:v>46260</x:v>
      </x:c>
    </x:row>
    <x:row r="80">
      <x:c r="A80" t="str">
        <x:v>QA-008</x:v>
      </x:c>
      <x:c r="B80" t="str">
        <x:f>IF(F80="完了","☑","☐")</x:f>
        <x:v>☐</x:v>
      </x:c>
      <x:c r="C80" t="str">
        <x:v>テスト・運用・法務</x:v>
      </x:c>
      <x:c r="D80" t="str">
        <x:v>進級・出題テスト</x:v>
      </x:c>
      <x:c r="E80" t="str">
        <x:v>問題循環・連続合格・設定・既存データ移行を検証する</x:v>
      </x:c>
      <x:c r="F80" t="str">
        <x:v>進行中</x:v>
      </x:c>
      <x:c r="G80" t="str">
        <x:v>P0</x:v>
      </x:c>
      <x:c r="H80" t="str">
        <x:v>50単体テストと実DBで問題発行、1問1計上、3連続合格、段階復帰、技能統計更新を確認</x:v>
      </x:c>
      <x:c r="I80" t="str">
        <x:v>実ユーザーのブラウザ操作と複数端末同期をPlaywright E2Eへ追加する</x:v>
      </x:c>
      <x:c r="J80" t="str">
        <x:v>ローカル・実DB・E2Eの主要境界ケースが成功する</x:v>
      </x:c>
      <x:c r="K80" t="str">
        <x:v>web/src/**/*.test.ts / supabase/tests/learner_data_rls.sql</x:v>
      </x:c>
      <x:c r="L80" s="55" t="n">
        <x:v>46260</x:v>
      </x:c>
    </x:row>
    <x:row r="81">
      <x:c r="A81" t="str">
        <x:v>APP-013</x:v>
      </x:c>
      <x:c r="B81" t="str">
        <x:v>☑</x:v>
      </x:c>
      <x:c r="C81" t="str">
        <x:v>アプリ本体・学習機能</x:v>
      </x:c>
      <x:c r="D81" t="str">
        <x:v>問題生成・類似回避</x:v>
      </x:c>
      <x:c r="E81" t="str">
        <x:v>問題数を固定せず段階別特徴署名で異なる傾向を選ぶ</x:v>
      </x:c>
      <x:c r="F81" t="str">
        <x:v>完了</x:v>
      </x:c>
      <x:c r="G81" t="str">
        <x:v>P0</x:v>
      </x:c>
      <x:c r="H81" t="str">
        <x:v>旧4軸を廃止し、段階別feature_signature、問題指紋、全段階の題材利用履歴で類似・偏りを回避。問題IDから同じ設計を復元できるよう修正</x:v>
      </x:c>
      <x:c r="I81" t="str">
        <x:v>実Supabase適用後に共有問題バンクと複数端末履歴を確認</x:v>
      </x:c>
      <x:c r="J81" t="str">
        <x:v>履歴・技能統計から説明可能に次の訓練目標を選び、同一傾向を避けられる</x:v>
      </x:c>
      <x:c r="K81" t="str">
        <x:v>web/src/lib/features/learning/problem-generator.ts / progression.ts / docs/architecture.md</x:v>
      </x:c>
      <x:c r="L81" s="92" t="n">
        <x:v>46260</x:v>
      </x:c>
    </x:row>
    <x:row r="82">
      <x:c r="A82" t="str">
        <x:v>APP-014</x:v>
      </x:c>
      <x:c r="B82" t="str">
        <x:f>IF(F82="完了","☑","☐")</x:f>
        <x:v>☑</x:v>
      </x:c>
      <x:c r="C82" t="str">
        <x:v>アプリ本体・学習機能</x:v>
      </x:c>
      <x:c r="D82" t="str">
        <x:v>段階移動</x:v>
      </x:c>
      <x:c r="E82" t="str">
        <x:v>到達済み段階へ戻り再訓練できるようにする</x:v>
      </x:c>
      <x:c r="F82" t="str">
        <x:v>完了</x:v>
      </x:c>
      <x:c r="G82" t="str">
        <x:v>P0</x:v>
      </x:c>
      <x:c r="H82" t="str">
        <x:v>現在段階と最高到達段階を分離し、課題一覧・進捗画面から到達済み段階を選択可能。移動時は連勝をリセット</x:v>
      </x:c>
      <x:c r="I82" t="str">
        <x:v>実ユーザーで段階往復後の同期を確認</x:v>
      </x:c>
      <x:c r="J82" t="str">
        <x:v>未解放段階は選べず、戻っても最高到達段階・修了記録・問題履歴が残る</x:v>
      </x:c>
      <x:c r="K82" t="str">
        <x:v>web/src/lib/features/learning/ / web/src/routes/tasks/ / web/src/routes/progress/</x:v>
      </x:c>
      <x:c r="L82" s="92" t="n">
        <x:v>46259</x:v>
      </x:c>
    </x:row>
    <x:row r="83">
      <x:c r="A83" t="str">
        <x:v>DB-009</x:v>
      </x:c>
      <x:c r="B83" t="str">
        <x:v>☑</x:v>
      </x:c>
      <x:c r="C83" t="str">
        <x:v>DB・権限</x:v>
      </x:c>
      <x:c r="D83" t="str">
        <x:v>問題履歴・特徴</x:v>
      </x:c>
      <x:c r="E83" t="str">
        <x:v>発行済み問題と段階別特徴署名を本人限定で永続化する</x:v>
      </x:c>
      <x:c r="F83" t="str">
        <x:v>完了</x:v>
      </x:c>
      <x:c r="G83" t="str">
        <x:v>P0</x:v>
      </x:c>
      <x:c r="H83" t="str">
        <x:v>実DBでfeature_signature v2、問題履歴、問題指紋、技能統計の本人分離と原子的保存を検証済み</x:v>
      </x:c>
      <x:c r="I83" t="str">
        <x:v>Claude問題生成接続後に生成元・版・類似回避を実測する</x:v>
      </x:c>
      <x:c r="J83" t="str">
        <x:v>本人履歴だけ読め、問題仕様・生成版・技能統計が原子的かつ安全に保存される</x:v>
      </x:c>
      <x:c r="K83" t="str">
        <x:v>supabase/migrations/202608210001_initial_schema.sql / supabase/tests/learner_data_rls.sql</x:v>
      </x:c>
      <x:c r="L83" s="55" t="n">
        <x:v>46260</x:v>
      </x:c>
    </x:row>
    <x:row r="84">
      <x:c r="A84" t="str">
        <x:v>QA-009</x:v>
      </x:c>
      <x:c r="B84" t="str">
        <x:v>☐</x:v>
      </x:c>
      <x:c r="C84" t="str">
        <x:v>テスト・運用・法務</x:v>
      </x:c>
      <x:c r="D84" t="str">
        <x:v>動的出題・段階往復</x:v>
      </x:c>
      <x:c r="E84" t="str">
        <x:v>問題生成、特徴検証、旧データ移行、段階往復を回帰テストする</x:v>
      </x:c>
      <x:c r="F84" t="str">
        <x:v>進行中</x:v>
      </x:c>
      <x:c r="G84" t="str">
        <x:v>P0</x:v>
      </x:c>
      <x:c r="H84" t="str">
        <x:v>50単体テスト、型・ビルド、実DBの2ユーザーRLS・RPC回帰テストが成功</x:v>
      </x:c>
      <x:c r="I84" t="str">
        <x:v>認証済みE2EとClaude生成後の多様性・履歴保持を追加する</x:v>
      </x:c>
      <x:c r="J84" t="str">
        <x:v>ローカル・実DB・E2Eで適応出題、履歴、段階状態、二重計上防止が一致する</x:v>
      </x:c>
      <x:c r="K84" t="str">
        <x:v>web/src/**/*.test.ts / supabase/tests/learner_data_rls.sql</x:v>
      </x:c>
      <x:c r="L84" s="55" t="n">
        <x:v>46260</x:v>
      </x:c>
    </x:row>
    <x:row r="85" ht="48" customHeight="1">
      <x:c r="A85" t="str">
        <x:v>CUR-008</x:v>
      </x:c>
      <x:c r="B85" t="str">
        <x:v>☑</x:v>
      </x:c>
      <x:c r="C85" t="str">
        <x:v>カリキュラム</x:v>
      </x:c>
      <x:c r="D85" t="str">
        <x:v>適応出題設計</x:v>
      </x:c>
      <x:c r="E85" t="str">
        <x:v>13段階の技能分類と問題設計図を定義する</x:v>
      </x:c>
      <x:c r="F85" t="str">
        <x:v>完了</x:v>
      </x:c>
      <x:c r="G85" t="str">
        <x:v>P0</x:v>
      </x:c>
      <x:c r="H85" s="211" t="str">
        <x:v>全13段階の中核技能・題材領域・必須要素・段階別特徴をTypeScriptへ実装し、各段階10テンプレートとの対応を検証</x:v>
      </x:c>
      <x:c r="I85" s="211" t="str">
        <x:v>実利用ログから技能分類と題材分類の粒度を定期レビュー</x:v>
      </x:c>
      <x:c r="J85" s="211" t="str">
        <x:v>各段階の訓練目標・必須要素・特徴がコードと設計書で一致する</x:v>
      </x:c>
      <x:c r="K85" s="211" t="str">
        <x:v>docs/architecture.md / web/src/lib/features/learning/learning-design.ts / curriculum-design/</x:v>
      </x:c>
      <x:c r="L85" s="92" t="n">
        <x:v>46260</x:v>
      </x:c>
    </x:row>
    <x:row r="86" ht="48" customHeight="1">
      <x:c r="A86" t="str">
        <x:v>APP-015</x:v>
      </x:c>
      <x:c r="B86" t="str">
        <x:v>☑</x:v>
      </x:c>
      <x:c r="C86" t="str">
        <x:v>アプリ本体・学習機能</x:v>
      </x:c>
      <x:c r="D86" t="str">
        <x:v>適応学習</x:v>
      </x:c>
      <x:c r="E86" t="str">
        <x:v>過去の誤り・苦手技能・題材経験から次問を選ぶ</x:v>
      </x:c>
      <x:c r="F86" t="str">
        <x:v>完了</x:v>
      </x:c>
      <x:c r="G86" t="str">
        <x:v>P0</x:v>
      </x:c>
      <x:c r="H86" s="211" t="str">
        <x:v>苦手50%・中核30%・未経験20%を決定的に選択。直近結果と十分な試行数を考慮し、初回合格を苦手扱いしないよう境界条件も修正</x:v>
      </x:c>
      <x:c r="I86" s="211" t="str">
        <x:v>実ユーザーの学習ログで閾値と配分を調整</x:v>
      </x:c>
      <x:c r="J86" s="211" t="str">
        <x:v>同じ履歴から同じ選択結果が得られ、苦手偏重と題材固定を防げる</x:v>
      </x:c>
      <x:c r="K86" s="211" t="str">
        <x:v>web/src/lib/features/learning/mastery.ts / progression.ts / problem-generator.ts</x:v>
      </x:c>
      <x:c r="L86" s="92" t="n">
        <x:v>46260</x:v>
      </x:c>
    </x:row>
    <x:row r="87" ht="48" customHeight="1">
      <x:c r="A87" t="str">
        <x:v>DB-010</x:v>
      </x:c>
      <x:c r="B87" t="str">
        <x:v>☑</x:v>
      </x:c>
      <x:c r="C87" t="str">
        <x:v>DB・権限</x:v>
      </x:c>
      <x:c r="D87" t="str">
        <x:v>適応学習データ</x:v>
      </x:c>
      <x:c r="E87" t="str">
        <x:v>技能別結果・習熟度・共有問題バンクを安全に保存する</x:v>
      </x:c>
      <x:c r="F87" t="str">
        <x:v>完了</x:v>
      </x:c>
      <x:c r="G87" t="str">
        <x:v>P0</x:v>
      </x:c>
      <x:c r="H87" s="211" t="str">
        <x:v>実DBでskill_results、learner_skill_stats、problem_bank、AI予算テーブルとRPC・RLSを適用し、技能統計の冪等更新を確認</x:v>
      </x:c>
      <x:c r="I87" s="211" t="str">
        <x:v>Claude Edge Functionから問題バンクと利用量を安全に更新する</x:v>
      </x:c>
      <x:c r="J87" s="211" t="str">
        <x:v>本人の技能統計が隔離され、承認済み問題を安全に共有・再利用できる</x:v>
      </x:c>
      <x:c r="K87" s="211" t="str">
        <x:v>supabase/migrations/202608210001_initial_schema.sql / supabase/tests/</x:v>
      </x:c>
      <x:c r="L87" s="92" t="n">
        <x:v>46260</x:v>
      </x:c>
    </x:row>
    <x:row r="88" ht="48" customHeight="1">
      <x:c r="A88" t="str">
        <x:v>AI-008</x:v>
      </x:c>
      <x:c r="B88" t="str">
        <x:v>☐</x:v>
      </x:c>
      <x:c r="C88" t="str">
        <x:v>AI添削</x:v>
      </x:c>
      <x:c r="D88" t="str">
        <x:v>問題生成</x:v>
      </x:c>
      <x:c r="E88" t="str">
        <x:v>Claudeで自然な問題文を生成・検証し問題バンクへ蓄積する</x:v>
      </x:c>
      <x:c r="F88" t="str">
        <x:v>進行中</x:v>
      </x:c>
      <x:c r="G88" t="str">
        <x:v>P0</x:v>
      </x:c>
      <x:c r="H88" s="211" t="str">
        <x:v>短いProblemSpecification、段階条件検証、n-gram類似検査、問題バンク優先、在庫不足時だけAI生成する契約とフォールバックを実装</x:v>
      </x:c>
      <x:c r="I88" s="211" t="str">
        <x:v>Claude Edge Functionの構造化出力・1回再試行・問題バンク登録を実装</x:v>
      </x:c>
      <x:c r="J88" s="211" t="str">
        <x:v>不正・重複・条件逸脱問題を発行せず、生成コストと版を記録できる</x:v>
      </x:c>
      <x:c r="K88" s="211" t="str">
        <x:v>web/src/lib/features/learning/problem-generator.ts / ai-budget.ts / docs/architecture.md</x:v>
      </x:c>
      <x:c r="L88" s="92" t="n">
        <x:v>46260</x:v>
      </x:c>
    </x:row>
    <x:row r="89" ht="48" customHeight="1">
      <x:c r="A89" t="str">
        <x:v>QA-010</x:v>
      </x:c>
      <x:c r="B89" t="str">
        <x:v>☐</x:v>
      </x:c>
      <x:c r="C89" t="str">
        <x:v>テスト・運用・法務</x:v>
      </x:c>
      <x:c r="D89" t="str">
        <x:v>適応出題・生成</x:v>
      </x:c>
      <x:c r="E89" t="str">
        <x:v>苦手反映・多様性・生成検証・フォールバックを検証する</x:v>
      </x:c>
      <x:c r="F89" t="str">
        <x:v>進行中</x:v>
      </x:c>
      <x:c r="G89" t="str">
        <x:v>P0</x:v>
      </x:c>
      <x:c r="H89" s="211" t="str">
        <x:v>50単体テスト、実DBの2ユーザーRLS、予算超過フォールバックとSQL契約まで検証済み</x:v>
      </x:c>
      <x:c r="I89" s="211" t="str">
        <x:v>Claude生成異常系と認証済みE2Eを追加し、最終テストで本番AI上限を所有者へ確認する</x:v>
      </x:c>
      <x:c r="J89" s="211" t="str">
        <x:v>決定的単体テスト、RLS、E2E、生成異常系が成功し、AI上限について所有者の明示承認を得る</x:v>
      </x:c>
      <x:c r="K89" s="211" t="str">
        <x:v>web/src/**/*.test.ts / supabase/tests/ / web/e2e/</x:v>
      </x:c>
      <x:c r="L89" s="92" t="n">
        <x:v>46260</x:v>
      </x:c>
    </x:row>
    <x:row r="90" ht="54" customHeight="1">
      <x:c r="A90" t="str">
        <x:v>AI-009</x:v>
      </x:c>
      <x:c r="B90" t="str">
        <x:v>☐</x:v>
      </x:c>
      <x:c r="C90" t="str">
        <x:v>AI添削</x:v>
      </x:c>
      <x:c r="D90" t="str">
        <x:v>利用量・予算制御</x:v>
      </x:c>
      <x:c r="E90" t="str">
        <x:v>問題生成と添削のトークン使用量・回数・費用を制御する</x:v>
      </x:c>
      <x:c r="F90" t="str">
        <x:v>進行中</x:v>
      </x:c>
      <x:c r="G90" t="str">
        <x:v>P0</x:v>
      </x:c>
      <x:c r="H90" t="str">
        <x:v>現在値は開発中の暴走防止だけを目的とする暫定ガード値。コード・DBともprovisionalで保持し、本番確定値として扱わない</x:v>
      </x:c>
      <x:c r="I90" t="str">
        <x:v>最終リリーステストで品質・実測トークン・費用を提示して所有者へ必ず確認し、承認後に本番値へ変更してreview_statusをapprovedにする</x:v>
      </x:c>
      <x:c r="J90" t="str">
        <x:v>暫定値を本番へ流用せず、所有者確認済みの上限で品質・費用テストが成功しreview_statusがapprovedになる</x:v>
      </x:c>
      <x:c r="K90" t="str">
        <x:v>web/src/lib/features/learning/ai-budget.ts / supabase/migrations/202608210001_initial_schema.sql</x:v>
      </x:c>
      <x:c r="L90" t="n">
        <x:v>46260</x:v>
      </x:c>
    </x:row>
  </x:sheetData>
  <x:mergeCells>
    <x:mergeCell ref="A1:L1"/>
    <x:mergeCell ref="A2:L2"/>
  </x:mergeCells>
  <x:conditionalFormatting sqref="F5:F71">
    <x:cfRule type="containsText" dxfId="0" priority="1" operator="containsText" text="完了"/>
    <x:cfRule type="containsText" dxfId="1" priority="2" operator="containsText" text="進行中"/>
    <x:cfRule type="containsText" dxfId="2" priority="3" operator="containsText" text="要確認"/>
    <x:cfRule type="containsText" dxfId="3" priority="4" operator="containsText" text="未着手"/>
  </x:conditionalFormatting>
  <x:conditionalFormatting sqref="G5:G71">
    <x:cfRule type="containsText" dxfId="4" priority="5" operator="containsText" text="P0"/>
  </x:conditionalFormatting>
  <x:dataValidations count="4">
    <x:dataValidation type="list" sqref="F5:F204">
      <x:formula1>"未着手,進行中,要確認,保留,完了"</x:formula1>
    </x:dataValidation>
    <x:dataValidation type="list" sqref="G5:G204">
      <x:formula1>"P0,P1,P2,P3"</x:formula1>
    </x:dataValidation>
    <x:dataValidation type="list" sqref="F85:F89">
      <x:formula1>"未着手,進行中,要確認,保留,完了"</x:formula1>
    </x:dataValidation>
    <x:dataValidation type="list" sqref="G85:G8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acb05d4f59411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50" hidden="0" customWidth="1"/>
    <x:col min="4" max="4" width="32" hidden="0" customWidth="1"/>
    <x:col min="5" max="5" width="15" hidden="0" customWidth="1"/>
    <x:col min="6" max="6" width="46" hidden="0" customWidth="1"/>
  </x:cols>
  <x:sheetData>
    <x:row r="1" ht="34" customHeight="1">
      <x:c r="A1" s="203" t="str">
        <x:v>更新履歴</x:v>
      </x:c>
      <x:c r="B1" s="203"/>
      <x:c r="C1" s="203"/>
      <x:c r="D1" s="203"/>
      <x:c r="E1" s="203"/>
      <x:c r="F1" s="203"/>
    </x:row>
    <x:row r="3">
      <x:c r="A3" s="205" t="str">
        <x:v>更新日</x:v>
      </x:c>
      <x:c r="B3" s="205" t="str">
        <x:v>カテゴリ</x:v>
      </x:c>
      <x:c r="C3" s="205" t="str">
        <x:v>更新内容</x:v>
      </x:c>
      <x:c r="D3" s="205" t="str">
        <x:v>関連タスクID</x:v>
      </x:c>
      <x:c r="E3" s="205" t="str">
        <x:v>Gitコミット</x:v>
      </x:c>
      <x:c r="F3" s="205" t="str">
        <x:v>更新者・備考</x:v>
      </x:c>
    </x:row>
    <x:row r="4" ht="48" customHeight="1">
      <x:c r="A4" s="209" t="n">
        <x:v>46255</x:v>
      </x:c>
      <x:c r="B4" s="210" t="str">
        <x:v>設計</x:v>
      </x:c>
      <x:c r="C4" s="210" t="str">
        <x:v>Supabase + Cloudflare、SvelteKit、Stripe、Claude等の採用構成と実装順を整理</x:v>
      </x:c>
      <x:c r="D4" s="210" t="str">
        <x:v>全体</x:v>
      </x:c>
      <x:c r="E4" s="210"/>
      <x:c r="F4" s="210" t="str">
        <x:v>設計正本をarchitecture.mdへ一元化</x:v>
      </x:c>
    </x:row>
    <x:row r="5" ht="48" customHeight="1">
      <x:c r="A5" s="208" t="n">
        <x:v>46256</x:v>
      </x:c>
      <x:c r="B5" s="207" t="str">
        <x:v>基盤・DB</x:v>
      </x:c>
      <x:c r="C5" s="207" t="str">
        <x:v>SvelteKit雛形、共通型、モック画面、初期DBスキーマ、CIを作成</x:v>
      </x:c>
      <x:c r="D5" s="207" t="str">
        <x:v>ENV-006 / APP-001〜003 / DB-001</x:v>
      </x:c>
      <x:c r="E5" s="207" t="str">
        <x:v>90aeb00</x:v>
      </x:c>
      <x:c r="F5" s="207" t="str">
        <x:v>Initial application scaffold</x:v>
      </x:c>
    </x:row>
    <x:row r="6" ht="48" customHeight="1">
      <x:c r="A6" s="209" t="n">
        <x:v>46258</x:v>
      </x:c>
      <x:c r="B6" s="210" t="str">
        <x:v>基盤・開発環境</x:v>
      </x:c>
      <x:c r="C6" s="210" t="str">
        <x:v>GitHub HTTPS連携、asdf Node 24.19.0、Corepack pnpm 11.19.0を確認</x:v>
      </x:c>
      <x:c r="D6" s="210" t="str">
        <x:v>ENV-001 / ENV-004 / ENV-005</x:v>
      </x:c>
      <x:c r="E6" s="210"/>
      <x:c r="F6" s="210" t="str">
        <x:v>.tool-versionsは次回コミット対象</x:v>
      </x:c>
    </x:row>
    <x:row r="7" ht="48" customHeight="1">
      <x:c r="A7" s="208" t="n">
        <x:v>46258</x:v>
      </x:c>
      <x:c r="B7" s="207" t="str">
        <x:v>進捗管理</x:v>
      </x:c>
      <x:c r="C7" s="207" t="str">
        <x:v>カテゴリ別の実装タスク、集計、更新履歴を一元化</x:v>
      </x:c>
      <x:c r="D7" s="207" t="str">
        <x:v>全体</x:v>
      </x:c>
      <x:c r="E7" s="207"/>
      <x:c r="F7" s="207" t="str">
        <x:v>このExcelを進捗の正本として運用開始</x:v>
      </x:c>
    </x:row>
    <x:row r="8" ht="48" customHeight="1">
      <x:c r="A8" s="209" t="n">
        <x:v>46258</x:v>
      </x:c>
      <x:c r="B8" s="210" t="str">
        <x:v>要件・進捗管理</x:v>
      </x:c>
      <x:c r="C8" s="210" t="str">
        <x:v>学習者向け日次活動履歴をアプリ実装計画へ追加</x:v>
      </x:c>
      <x:c r="D8" s="210" t="str">
        <x:v>APP-010 / APP-011 / DB-007 / QA-007</x:v>
      </x:c>
      <x:c r="E8" s="210"/>
      <x:c r="F8" s="210" t="str">
        <x:v>要件・DB・画面・テストへ分割。アプリコードの実装は未着手</x:v>
      </x:c>
    </x:row>
    <x:row r="9" ht="48" customHeight="1">
      <x:c r="A9" s="208" t="n">
        <x:v>46258</x:v>
      </x:c>
      <x:c r="B9" s="207" t="str">
        <x:v>ローカルMVP</x:v>
      </x:c>
      <x:c r="C9" s="207" t="str">
        <x:v>カリキュラム生成、13課題、下書き、モック添削、履歴、進捗、日次活動、PWAを実装・検証</x:v>
      </x:c>
      <x:c r="D9" s="207" t="str">
        <x:v>ENV-006〜007 / APP-004〜011 / CUR-002〜006 / QA-001・007</x:v>
      </x:c>
      <x:c r="E9" s="207"/>
      <x:c r="F9" s="207" t="str">
        <x:v>pnpm verify成功。PC・スマホ幅で一連の操作を確認。Supabase・Claude・Stripeは未接続</x:v>
      </x:c>
    </x:row>
    <x:row r="10" ht="48" customHeight="1">
      <x:c r="A10" s="209" t="n">
        <x:v>46258</x:v>
      </x:c>
      <x:c r="B10" s="210" t="str">
        <x:v>認証・DB</x:v>
      </x:c>
      <x:c r="C10" s="210" t="str">
        <x:v>Supabaseクライアント、メール認証画面、本人限定RLS、クラウド保存切替、接続手順を実装</x:v>
      </x:c>
      <x:c r="D10" s="210" t="str">
        <x:v>AUTH-001〜004・007 / DB-002〜005</x:v>
      </x:c>
      <x:c r="E10" s="210"/>
      <x:c r="F10" s="210" t="str">
        <x:v>pnpm verify成功。実Supabaseへの接続・RLS実測は設定後に確認</x:v>
      </x:c>
    </x:row>
    <x:row r="11" ht="72" customHeight="1">
      <x:c r="A11" s="208" t="n">
        <x:v>46259</x:v>
      </x:c>
      <x:c r="B11" s="207" t="str">
        <x:v>品質改善・進捗管理</x:v>
      </x:c>
      <x:c r="C11" s="207" t="str">
        <x:v>全体工程を再レビューし、DB定義一本化、Data API権限、RLSテスト、原子的提出、認証復旧、保存競合対策を修正。開発者の日次活動管理を廃止</x:v>
      </x:c>
      <x:c r="D11" s="207" t="str">
        <x:v>ENV-007〜008 / AUTH-003〜004・007 / DB-001〜005・007 / APP-011 / QA-001・007</x:v>
      </x:c>
      <x:c r="E11" s="207"/>
      <x:c r="F11" s="207" t="str">
        <x:v>pnpm verify成功（4ファイル・10テスト）。実Supabase適用・実メール・2ユーザーRLS・E2Eは次工程</x:v>
      </x:c>
    </x:row>
    <x:row r="12" ht="72" customHeight="1">
      <x:c r="A12" s="212" t="n">
        <x:v>46259</x:v>
      </x:c>
      <x:c r="B12" s="211" t="str">
        <x:v>反復学習・進級</x:v>
      </x:c>
      <x:c r="C12" s="211" t="str">
        <x:v>各段階10問・合計130問、履歴による重複回避、連続合格進級、学習者の必要回数設定、旧データ移行、DB原子更新を実装</x:v>
      </x:c>
      <x:c r="D12" s="211" t="str">
        <x:v>CUR-007 / APP-012 / DB-008 / QA-008ほか</x:v>
      </x:c>
      <x:c r="E12" s="211"/>
      <x:c r="F12" s="211" t="str">
        <x:v>PUBLIC環境変数の名称不一致も修正。pnpm verifyとローカルブラウザ確認成功。実Supabase適用・RLS実測は次工程</x:v>
      </x:c>
    </x:row>
    <x:row r="13" ht="72" customHeight="1">
      <x:c r="A13" s="212" t="n">
        <x:v>46259</x:v>
      </x:c>
      <x:c r="B13" s="211" t="str">
        <x:v>動的出題・段階往復</x:v>
      </x:c>
      <x:c r="C13" s="211" t="str">
        <x:v>固定問題数を廃止し、4軸の特徴ベクトルと問題指紋による類似回避、時間幅による継続生成、表示時履歴、到達済み段階への再移動、旧データ移行を実装</x:v>
      </x:c>
      <x:c r="D13" s="211" t="str">
        <x:v>APP-013〜014 / DB-009 / QA-009ほか</x:v>
      </x:c>
      <x:c r="E13" s="211"/>
      <x:c r="F13" s="211" t="str">
        <x:v>pnpm verify成功（5ファイル・24テスト）。ローカルブラウザ確認成功。実Supabase適用・RLS実測は次工程</x:v>
      </x:c>
    </x:row>
    <x:row r="14" ht="66" customHeight="1">
      <x:c r="A14" s="213" t="n">
        <x:v>46260</x:v>
      </x:c>
      <x:c r="B14" s="211" t="str">
        <x:v>品質レビュー・Supabase準備</x:v>
      </x:c>
      <x:c r="C14" s="211" t="str">
        <x:v>動的出題・段階往復を再レビューし、複数タブの問題発行競合、同一問題の別送信IDによる二重進級、提出後の再送導線を修正。Supabase Data APIで初期テーブル未適用を確認</x:v>
      </x:c>
      <x:c r="D14" s="211" t="str">
        <x:v>APP-012 / DB-001・003〜005・008〜009 / QA-001・008〜009</x:v>
      </x:c>
      <x:c r="E14" s="211"/>
      <x:c r="F14" s="211" t="str">
        <x:v>pnpm verify成功（5ファイル・26テスト）、ローカル画面確認成功。Supabaseログイン後に初期SQL適用・実DB/RLS検証を継続</x:v>
      </x:c>
    </x:row>
    <x:row r="15" ht="56" customHeight="1">
      <x:c r="A15" s="92" t="n">
        <x:v>46260</x:v>
      </x:c>
      <x:c r="B15" t="str">
        <x:v>適応出題・自然文生成</x:v>
      </x:c>
      <x:c r="C15" s="211" t="str">
        <x:v>13段階を再確認し、固定テンプレート直積を廃止。技能別学習履歴から出題条件を選び、問題バンクとClaude生成を併用する最終設計を確定</x:v>
      </x:c>
      <x:c r="D15" s="211" t="str">
        <x:v>CUR-008 / APP-013・015 / DB-001・009〜010 / AI-008 / QA-009〜010</x:v>
      </x:c>
      <x:c r="E15" s="211"/>
      <x:c r="F15" s="211" t="str">
        <x:v>architecture.mdを更新。旧4軸初期SQLは未実行のまま改訂後に適用する</x:v>
      </x:c>
    </x:row>
    <x:row r="16" ht="58" customHeight="1">
      <x:c r="A16" s="228" t="n">
        <x:v>46260</x:v>
      </x:c>
      <x:c r="B16" s="221" t="str">
        <x:v>適応出題・コスト制御実装</x:v>
      </x:c>
      <x:c r="C16" s="222" t="str">
        <x:v>段階別特徴署名、技能習熟度、50/30/20適応選択、共有問題バンク優先、AI予算判定、利用量保存、原子的DB更新とRLSを実装。初回合格の苦手誤判定と問題ID復元を修正</x:v>
      </x:c>
      <x:c r="D16" s="221" t="str">
        <x:v>CUR-008 / APP-013・015 / DB-009〜010 / AI-008〜009 / QA-009〜010</x:v>
      </x:c>
      <x:c r="E16" s="221"/>
      <x:c r="F16" s="223" t="str">
        <x:v>pnpm verify成功（7ファイル・49テスト、型0警告、製品ビルド成功）。SQLの実Supabase適用は次工程</x:v>
      </x:c>
    </x:row>
    <x:row r="17" ht="62" customHeight="1">
      <x:c r="A17" s="229" t="n">
        <x:v>46260</x:v>
      </x:c>
      <x:c r="B17" s="225" t="str">
        <x:v>AI上限の暫定化・最終確認ゲート</x:v>
      </x:c>
      <x:c r="C17" s="226" t="str">
        <x:v>問題生成・添削の現行トークン値を暫定ガードと明記。コードとDBへprovisional状態を追加し、最終テストで所有者へ本番AI上限を確認する完了条件を設定</x:v>
      </x:c>
      <x:c r="D17" s="225" t="str">
        <x:v>AI-009 / QA-010</x:v>
      </x:c>
      <x:c r="E17" s="225"/>
      <x:c r="F17" s="226" t="str">
        <x:v>pnpm verify成功（7ファイル・50テスト、型0警告、製品ビルド成功）。所有者承認前はAI上限の最終テストを完了扱いにしない</x:v>
      </x:c>
    </x:row>
    <x:row r="18" ht="76" customHeight="1">
      <x:c r="A18" s="213" t="n">
        <x:v>46260</x:v>
      </x:c>
      <x:c r="B18" s="211" t="str">
        <x:v>Supabase CLI・migration・RLS実測</x:v>
      </x:c>
      <x:c r="C18" s="211" t="str">
        <x:v>Supabase CLI 2.115.0をローカル依存へ固定し、開発DBへ初期・セキュリティ強化migrationを適用。17テーブル、全RLS、3 RPCと2ユーザー分離・進級・段階復帰・冪等性を検証</x:v>
      </x:c>
      <x:c r="D18" s="211" t="str">
        <x:v>AUTH-007 / DB-001〜004・008〜010 / QA-007〜010</x:v>
      </x:c>
      <x:c r="E18" s="211"/>
      <x:c r="F18" s="211" t="str">
        <x:v>pnpm verify成功（7ファイル・50テスト、型0警告、製品ビルド成功）。RLSデータはrollback済み。security advisorは意図した認証済みRPC 4件、DB lintは既存remote関数の未使用変数2件だけ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7d5850e47c2547a1"/>
  </x:tableParts>
</x:worksheet>
</file>